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_PC\Downloads\"/>
    </mc:Choice>
  </mc:AlternateContent>
  <bookViews>
    <workbookView xWindow="0" yWindow="0" windowWidth="28800" windowHeight="12285"/>
  </bookViews>
  <sheets>
    <sheet name="대리점(출력)" sheetId="1" r:id="rId1"/>
  </sheets>
  <externalReferences>
    <externalReference r:id="rId2"/>
  </externalReferences>
  <definedNames>
    <definedName name="_xlnm.Print_Area" localSheetId="0">'대리점(출력)'!$A$1:$M$34</definedName>
    <definedName name="SAPBEXhrIndnt" hidden="1">"Wide"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J32" i="1"/>
  <c r="M13" i="1"/>
  <c r="A11" i="1"/>
  <c r="C33" i="1"/>
  <c r="C32" i="1"/>
  <c r="M14" i="1" l="1"/>
  <c r="M15" i="1" l="1"/>
  <c r="M16" i="1" l="1"/>
  <c r="M19" i="1" l="1"/>
  <c r="M20" i="1" l="1"/>
  <c r="M21" i="1" l="1"/>
  <c r="M22" i="1" l="1"/>
  <c r="M23" i="1" l="1"/>
  <c r="M24" i="1" l="1"/>
  <c r="M25" i="1" l="1"/>
  <c r="M26" i="1" l="1"/>
  <c r="F27" i="1" l="1"/>
  <c r="F28" i="1" s="1"/>
  <c r="E27" i="1"/>
  <c r="M27" i="1"/>
  <c r="M28" i="1" s="1"/>
  <c r="B27" i="1"/>
  <c r="J28" i="1" l="1"/>
  <c r="K29" i="1" s="1"/>
  <c r="A30" i="1" l="1"/>
  <c r="E30" i="1" s="1"/>
</calcChain>
</file>

<file path=xl/sharedStrings.xml><?xml version="1.0" encoding="utf-8"?>
<sst xmlns="http://schemas.openxmlformats.org/spreadsheetml/2006/main" count="36" uniqueCount="36">
  <si>
    <t>공
급
자</t>
    <phoneticPr fontId="5" type="noConversion"/>
  </si>
  <si>
    <t>등록번호</t>
    <phoneticPr fontId="5" type="noConversion"/>
  </si>
  <si>
    <t>315-82-04898</t>
    <phoneticPr fontId="5" type="noConversion"/>
  </si>
  <si>
    <t>공
급
받
는
자</t>
    <phoneticPr fontId="5" type="noConversion"/>
  </si>
  <si>
    <t>등록번호</t>
  </si>
  <si>
    <t>상호</t>
    <phoneticPr fontId="5" type="noConversion"/>
  </si>
  <si>
    <t>충북인삼농협고려인삼창</t>
    <phoneticPr fontId="5" type="noConversion"/>
  </si>
  <si>
    <t>상    호</t>
    <phoneticPr fontId="5" type="noConversion"/>
  </si>
  <si>
    <t>대표자</t>
    <phoneticPr fontId="5" type="noConversion"/>
  </si>
  <si>
    <t>소   진   호</t>
    <phoneticPr fontId="5" type="noConversion"/>
  </si>
  <si>
    <t>대 표 자</t>
    <phoneticPr fontId="5" type="noConversion"/>
  </si>
  <si>
    <t>주소</t>
    <phoneticPr fontId="5" type="noConversion"/>
  </si>
  <si>
    <t>충북 증평군 도안면 행갈길 179</t>
    <phoneticPr fontId="5" type="noConversion"/>
  </si>
  <si>
    <t>주    소</t>
    <phoneticPr fontId="5" type="noConversion"/>
  </si>
  <si>
    <t>연락처</t>
    <phoneticPr fontId="5" type="noConversion"/>
  </si>
  <si>
    <t>T.043-838-3475, F.043-838-8417</t>
    <phoneticPr fontId="5" type="noConversion"/>
  </si>
  <si>
    <t>검수자</t>
    <phoneticPr fontId="5" type="noConversion"/>
  </si>
  <si>
    <t xml:space="preserve">직      성명        인   </t>
    <phoneticPr fontId="5" type="noConversion"/>
  </si>
  <si>
    <t>No.</t>
    <phoneticPr fontId="5" type="noConversion"/>
  </si>
  <si>
    <t>품     목     명</t>
    <phoneticPr fontId="5" type="noConversion"/>
  </si>
  <si>
    <t>규  격</t>
    <phoneticPr fontId="5" type="noConversion"/>
  </si>
  <si>
    <t>수  량</t>
    <phoneticPr fontId="5" type="noConversion"/>
  </si>
  <si>
    <t>단   가</t>
    <phoneticPr fontId="5" type="noConversion"/>
  </si>
  <si>
    <t>금     액</t>
    <phoneticPr fontId="5" type="noConversion"/>
  </si>
  <si>
    <t>비 고</t>
    <phoneticPr fontId="5" type="noConversion"/>
  </si>
  <si>
    <t>합계</t>
    <phoneticPr fontId="5" type="noConversion"/>
  </si>
  <si>
    <t>공급가액</t>
    <phoneticPr fontId="5" type="noConversion"/>
  </si>
  <si>
    <t>부가세</t>
    <phoneticPr fontId="5" type="noConversion"/>
  </si>
  <si>
    <t>총공급액</t>
    <phoneticPr fontId="5" type="noConversion"/>
  </si>
  <si>
    <t>배  송  처</t>
    <phoneticPr fontId="5" type="noConversion"/>
  </si>
  <si>
    <t>입고담당자</t>
    <phoneticPr fontId="5" type="noConversion"/>
  </si>
  <si>
    <t>배송지주소</t>
    <phoneticPr fontId="5" type="noConversion"/>
  </si>
  <si>
    <t>비 고</t>
  </si>
  <si>
    <t xml:space="preserve"> 계좌번호 : 농협 413815-51-021351 (충북인삼농협)</t>
    <phoneticPr fontId="5" type="noConversion"/>
  </si>
  <si>
    <t>거래명세표</t>
    <phoneticPr fontId="2" type="noConversion"/>
  </si>
  <si>
    <t>상호명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</si>
</sst>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yyyy&quot;년&quot;\ m&quot;월&quot;\ d&quot;일&quot;;@"/>
    <numFmt numFmtId="179" formatCode="#,##0&quot; BOX&quot;"/>
    <numFmt numFmtId="180" formatCode="#,##0_ "/>
  </numFmts>
  <fonts count="17" x14ac:knownFonts="1">
    <font>
      <sz val="12"/>
      <color theme="1"/>
      <name val="함초롬바탕"/>
      <family val="2"/>
      <charset val="129"/>
    </font>
    <font>
      <sz val="11"/>
      <name val="돋움"/>
      <family val="3"/>
    </font>
    <font>
      <sz val="8"/>
      <name val="맑은 고딕"/>
      <family val="2"/>
      <charset val="129"/>
      <scheme val="minor"/>
    </font>
    <font>
      <b/>
      <u val="double"/>
      <sz val="22"/>
      <name val="굴림체"/>
      <family val="3"/>
      <charset val="129"/>
    </font>
    <font>
      <b/>
      <sz val="12"/>
      <name val="굴림체"/>
      <family val="3"/>
      <charset val="129"/>
    </font>
    <font>
      <sz val="8"/>
      <name val="돋움"/>
      <family val="3"/>
      <charset val="129"/>
    </font>
    <font>
      <sz val="12"/>
      <color theme="1"/>
      <name val="함초롬바탕"/>
      <family val="2"/>
      <charset val="129"/>
    </font>
    <font>
      <b/>
      <sz val="14"/>
      <name val="굴림체"/>
      <family val="3"/>
      <charset val="129"/>
    </font>
    <font>
      <b/>
      <sz val="14"/>
      <name val="바탕체"/>
      <family val="1"/>
      <charset val="129"/>
    </font>
    <font>
      <sz val="10"/>
      <name val="바탕체"/>
      <family val="1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b/>
      <sz val="13"/>
      <name val="굴림체"/>
      <family val="3"/>
      <charset val="129"/>
    </font>
    <font>
      <sz val="9"/>
      <name val="돋움"/>
      <family val="3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sz val="1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/>
    <xf numFmtId="41" fontId="15" fillId="0" borderId="0" applyFont="0" applyFill="0" applyBorder="0" applyAlignment="0" applyProtection="0"/>
  </cellStyleXfs>
  <cellXfs count="46">
    <xf numFmtId="0" fontId="0" fillId="0" borderId="0" xfId="0">
      <alignment vertical="center"/>
    </xf>
    <xf numFmtId="0" fontId="1" fillId="0" borderId="0" xfId="2"/>
    <xf numFmtId="0" fontId="9" fillId="0" borderId="0" xfId="2" applyFont="1" applyAlignment="1" applyProtection="1">
      <alignment vertical="center" wrapText="1"/>
      <protection locked="0"/>
    </xf>
    <xf numFmtId="0" fontId="11" fillId="0" borderId="1" xfId="2" applyFont="1" applyBorder="1" applyAlignment="1" applyProtection="1">
      <alignment horizontal="distributed" vertical="center" wrapText="1" indent="1"/>
      <protection locked="0"/>
    </xf>
    <xf numFmtId="0" fontId="13" fillId="0" borderId="0" xfId="2" applyFont="1"/>
    <xf numFmtId="0" fontId="10" fillId="2" borderId="1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41" fontId="10" fillId="0" borderId="1" xfId="1" applyFont="1" applyFill="1" applyBorder="1" applyAlignment="1" applyProtection="1">
      <alignment horizontal="center" vertical="center" shrinkToFit="1"/>
      <protection locked="0"/>
    </xf>
    <xf numFmtId="179" fontId="10" fillId="0" borderId="1" xfId="2" applyNumberFormat="1" applyFont="1" applyBorder="1" applyAlignment="1" applyProtection="1">
      <alignment horizontal="center" vertical="center" wrapText="1"/>
      <protection locked="0"/>
    </xf>
    <xf numFmtId="180" fontId="11" fillId="3" borderId="1" xfId="2" applyNumberFormat="1" applyFont="1" applyFill="1" applyBorder="1" applyAlignment="1" applyProtection="1">
      <alignment vertical="center" wrapText="1"/>
      <protection locked="0"/>
    </xf>
    <xf numFmtId="179" fontId="10" fillId="3" borderId="1" xfId="2" applyNumberFormat="1" applyFont="1" applyFill="1" applyBorder="1" applyAlignment="1" applyProtection="1">
      <alignment vertical="center" wrapText="1"/>
      <protection locked="0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7" fillId="0" borderId="1" xfId="2" applyFont="1" applyBorder="1" applyAlignment="1" applyProtection="1">
      <alignment horizontal="center" vertical="center" wrapText="1"/>
      <protection locked="0"/>
    </xf>
    <xf numFmtId="0" fontId="11" fillId="2" borderId="1" xfId="2" applyFont="1" applyFill="1" applyBorder="1" applyAlignment="1" applyProtection="1">
      <alignment horizontal="center" vertical="center" wrapText="1"/>
      <protection locked="0"/>
    </xf>
    <xf numFmtId="0" fontId="11" fillId="3" borderId="1" xfId="2" applyFont="1" applyFill="1" applyBorder="1" applyAlignment="1" applyProtection="1">
      <alignment horizontal="center" vertical="center" wrapText="1"/>
      <protection locked="0"/>
    </xf>
    <xf numFmtId="41" fontId="16" fillId="0" borderId="1" xfId="1" applyFont="1" applyBorder="1" applyAlignment="1" applyProtection="1">
      <alignment horizontal="left" vertical="center" wrapText="1"/>
      <protection locked="0"/>
    </xf>
    <xf numFmtId="41" fontId="11" fillId="2" borderId="1" xfId="1" applyFont="1" applyFill="1" applyBorder="1" applyAlignment="1" applyProtection="1">
      <alignment horizontal="center" vertical="center" wrapText="1"/>
      <protection locked="0"/>
    </xf>
    <xf numFmtId="41" fontId="11" fillId="3" borderId="1" xfId="1" applyFont="1" applyFill="1" applyBorder="1" applyAlignment="1" applyProtection="1">
      <alignment horizontal="center" vertical="center" wrapText="1"/>
      <protection locked="0"/>
    </xf>
    <xf numFmtId="41" fontId="16" fillId="0" borderId="3" xfId="1" applyFont="1" applyBorder="1" applyAlignment="1" applyProtection="1">
      <alignment horizontal="center" vertical="center" wrapText="1"/>
      <protection locked="0"/>
    </xf>
    <xf numFmtId="41" fontId="16" fillId="0" borderId="5" xfId="1" applyFont="1" applyBorder="1" applyAlignment="1" applyProtection="1">
      <alignment horizontal="center" vertical="center" wrapText="1"/>
      <protection locked="0"/>
    </xf>
    <xf numFmtId="0" fontId="16" fillId="0" borderId="1" xfId="2" applyFont="1" applyBorder="1" applyAlignment="1" applyProtection="1">
      <alignment horizontal="distributed" vertical="center" wrapText="1" indent="2"/>
      <protection locked="0"/>
    </xf>
    <xf numFmtId="180" fontId="16" fillId="0" borderId="1" xfId="2" applyNumberFormat="1" applyFont="1" applyBorder="1" applyAlignment="1" applyProtection="1">
      <alignment horizontal="distributed" vertical="center" wrapText="1" indent="2"/>
      <protection locked="0"/>
    </xf>
    <xf numFmtId="41" fontId="10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80" fontId="10" fillId="0" borderId="1" xfId="2" applyNumberFormat="1" applyFont="1" applyBorder="1" applyAlignment="1" applyProtection="1">
      <alignment horizontal="distributed" vertical="center" wrapText="1" indent="2"/>
      <protection locked="0"/>
    </xf>
    <xf numFmtId="41" fontId="10" fillId="0" borderId="3" xfId="1" applyFont="1" applyFill="1" applyBorder="1" applyAlignment="1" applyProtection="1">
      <alignment horizontal="left" vertical="center" shrinkToFit="1"/>
      <protection locked="0"/>
    </xf>
    <xf numFmtId="41" fontId="10" fillId="0" borderId="4" xfId="1" applyFont="1" applyFill="1" applyBorder="1" applyAlignment="1" applyProtection="1">
      <alignment horizontal="left" vertical="center" shrinkToFit="1"/>
      <protection locked="0"/>
    </xf>
    <xf numFmtId="41" fontId="10" fillId="0" borderId="5" xfId="1" applyFont="1" applyFill="1" applyBorder="1" applyAlignment="1" applyProtection="1">
      <alignment horizontal="left" vertical="center" shrinkToFit="1"/>
      <protection locked="0"/>
    </xf>
    <xf numFmtId="41" fontId="10" fillId="0" borderId="3" xfId="1" applyFont="1" applyFill="1" applyBorder="1" applyAlignment="1" applyProtection="1">
      <alignment horizontal="center" vertical="center" wrapText="1"/>
      <protection locked="0"/>
    </xf>
    <xf numFmtId="41" fontId="10" fillId="0" borderId="5" xfId="1" applyFont="1" applyFill="1" applyBorder="1" applyAlignment="1" applyProtection="1">
      <alignment horizontal="center" vertical="center" wrapText="1"/>
      <protection locked="0"/>
    </xf>
    <xf numFmtId="41" fontId="10" fillId="0" borderId="1" xfId="3" applyFont="1" applyFill="1" applyBorder="1" applyAlignment="1" applyProtection="1">
      <alignment horizontal="center" vertical="center" wrapText="1"/>
      <protection locked="0"/>
    </xf>
    <xf numFmtId="0" fontId="16" fillId="3" borderId="1" xfId="2" applyFont="1" applyFill="1" applyBorder="1" applyAlignment="1" applyProtection="1">
      <alignment horizontal="distributed" vertical="center" wrapText="1" indent="2"/>
      <protection locked="0"/>
    </xf>
    <xf numFmtId="41" fontId="10" fillId="3" borderId="1" xfId="1" applyFont="1" applyFill="1" applyBorder="1" applyAlignment="1" applyProtection="1">
      <alignment horizontal="center" vertical="center" wrapText="1"/>
      <protection locked="0"/>
    </xf>
    <xf numFmtId="41" fontId="10" fillId="3" borderId="1" xfId="3" applyFont="1" applyFill="1" applyBorder="1" applyAlignment="1" applyProtection="1">
      <alignment horizontal="center" vertical="center" wrapText="1"/>
      <protection locked="0"/>
    </xf>
    <xf numFmtId="179" fontId="10" fillId="0" borderId="6" xfId="2" applyNumberFormat="1" applyFont="1" applyBorder="1" applyAlignment="1" applyProtection="1">
      <alignment horizontal="center" vertical="center" wrapText="1"/>
      <protection locked="0"/>
    </xf>
    <xf numFmtId="179" fontId="10" fillId="0" borderId="7" xfId="2" applyNumberFormat="1" applyFont="1" applyBorder="1" applyAlignment="1" applyProtection="1">
      <alignment horizontal="center" vertical="center" wrapText="1"/>
      <protection locked="0"/>
    </xf>
    <xf numFmtId="179" fontId="10" fillId="0" borderId="8" xfId="2" applyNumberFormat="1" applyFont="1" applyBorder="1" applyAlignment="1" applyProtection="1">
      <alignment horizontal="center" vertical="center" wrapText="1"/>
      <protection locked="0"/>
    </xf>
    <xf numFmtId="41" fontId="14" fillId="0" borderId="2" xfId="1" applyFont="1" applyBorder="1" applyAlignment="1">
      <alignment horizontal="left" vertical="center"/>
    </xf>
    <xf numFmtId="0" fontId="10" fillId="2" borderId="1" xfId="2" applyFont="1" applyFill="1" applyBorder="1" applyAlignment="1" applyProtection="1">
      <alignment horizontal="center" vertical="center" wrapText="1"/>
      <protection locked="0"/>
    </xf>
    <xf numFmtId="0" fontId="11" fillId="0" borderId="1" xfId="2" applyFont="1" applyBorder="1" applyAlignment="1" applyProtection="1">
      <alignment horizontal="distributed" vertical="center" wrapText="1" indent="1"/>
      <protection locked="0"/>
    </xf>
    <xf numFmtId="0" fontId="11" fillId="0" borderId="1" xfId="2" applyFont="1" applyBorder="1" applyAlignment="1" applyProtection="1">
      <alignment horizontal="center" vertical="center" wrapText="1"/>
      <protection locked="0"/>
    </xf>
    <xf numFmtId="41" fontId="12" fillId="0" borderId="1" xfId="1" applyFont="1" applyBorder="1" applyAlignment="1" applyProtection="1">
      <alignment horizontal="center" vertical="center" shrinkToFit="1"/>
      <protection locked="0"/>
    </xf>
    <xf numFmtId="0" fontId="3" fillId="0" borderId="0" xfId="2" applyFont="1" applyAlignment="1" applyProtection="1">
      <alignment horizontal="center" wrapText="1"/>
      <protection locked="0"/>
    </xf>
    <xf numFmtId="0" fontId="7" fillId="0" borderId="0" xfId="2" applyFont="1" applyAlignment="1" applyProtection="1">
      <alignment horizontal="center" vertical="center" wrapText="1"/>
      <protection locked="0"/>
    </xf>
    <xf numFmtId="176" fontId="8" fillId="0" borderId="0" xfId="2" applyNumberFormat="1" applyFont="1" applyAlignment="1" applyProtection="1">
      <alignment horizontal="center" vertical="center" wrapText="1"/>
      <protection locked="0"/>
    </xf>
    <xf numFmtId="14" fontId="7" fillId="0" borderId="0" xfId="2" applyNumberFormat="1" applyFont="1" applyAlignment="1" applyProtection="1">
      <alignment horizontal="center" vertical="center" wrapText="1"/>
      <protection locked="0"/>
    </xf>
  </cellXfs>
  <cellStyles count="4">
    <cellStyle name="쉼표 [0]" xfId="1" builtinId="6"/>
    <cellStyle name="쉼표 [0] 2 4" xfId="3"/>
    <cellStyle name="표준" xfId="0" builtinId="0"/>
    <cellStyle name="표준 10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5</xdr:row>
      <xdr:rowOff>85725</xdr:rowOff>
    </xdr:from>
    <xdr:to>
      <xdr:col>6</xdr:col>
      <xdr:colOff>0</xdr:colOff>
      <xdr:row>6</xdr:row>
      <xdr:rowOff>304800</xdr:rowOff>
    </xdr:to>
    <xdr:pic>
      <xdr:nvPicPr>
        <xdr:cNvPr id="2" name="_x305443896" descr="EMB000011fc338c">
          <a:extLst>
            <a:ext uri="{FF2B5EF4-FFF2-40B4-BE49-F238E27FC236}">
              <a16:creationId xmlns:a16="http://schemas.microsoft.com/office/drawing/2014/main" id="{7A2B81B3-8141-4C81-B693-7BCE2B93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CFF"/>
            </a:clrFrom>
            <a:clrTo>
              <a:srgbClr val="FFFC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581150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2</xdr:col>
      <xdr:colOff>304800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952F082-14BC-4DAD-8581-9A05D241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0"/>
          <a:ext cx="13906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32209307/Downloads/2026&#45380;%20&#53945;&#54032;-&#45824;&#47532;&#51216;%20&#44144;&#47000;&#47749;&#49464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준 (2)"/>
      <sheetName val="양식"/>
      <sheetName val="거래처명부"/>
      <sheetName val="대리점(출력)"/>
      <sheetName val="대리점(입력)"/>
      <sheetName val="기준"/>
      <sheetName val="특판대리점(입력)"/>
      <sheetName val="특판대리점(출력)"/>
      <sheetName val="장연씨유"/>
      <sheetName val="바다"/>
      <sheetName val="바다(출력)"/>
      <sheetName val="외상잔액(5-12 실출고수량) (3)"/>
      <sheetName val="sgi 보증보험 제출용"/>
      <sheetName val="Sheet1"/>
      <sheetName val="출력(조합원 , 유통기한)"/>
      <sheetName val="위탁가공제품"/>
    </sheetNames>
    <sheetDataSet>
      <sheetData sheetId="0"/>
      <sheetData sheetId="1"/>
      <sheetData sheetId="2"/>
      <sheetData sheetId="3"/>
      <sheetData sheetId="4">
        <row r="3">
          <cell r="A3">
            <v>0</v>
          </cell>
          <cell r="B3" t="str">
            <v>1.영농조합법인장연씨유(상행선)</v>
          </cell>
          <cell r="C3">
            <v>45999</v>
          </cell>
          <cell r="D3">
            <v>9096</v>
          </cell>
          <cell r="E3">
            <v>20</v>
          </cell>
          <cell r="F3">
            <v>1</v>
          </cell>
          <cell r="H3" t="str">
            <v>637-81-00645</v>
          </cell>
          <cell r="I3" t="str">
            <v>충북 괴산군 중부내륙고속도로 204 내고장으뜸상품판매장(상행선)</v>
          </cell>
          <cell r="J3" t="str">
            <v>강흥수</v>
          </cell>
          <cell r="K3" t="str">
            <v>이옥화</v>
          </cell>
          <cell r="L3" t="str">
            <v>010-9557-4564</v>
          </cell>
          <cell r="M3" t="str">
            <v>삼누리홍삼젤리(500g)</v>
          </cell>
          <cell r="N3" t="str">
            <v>500g</v>
          </cell>
          <cell r="O3">
            <v>5000</v>
          </cell>
          <cell r="P3">
            <v>20</v>
          </cell>
          <cell r="Q3">
            <v>100000</v>
          </cell>
        </row>
        <row r="4">
          <cell r="A4">
            <v>0</v>
          </cell>
          <cell r="B4" t="str">
            <v>1.영농조합법인장연씨유(상행선)</v>
          </cell>
          <cell r="C4">
            <v>45999</v>
          </cell>
          <cell r="D4">
            <v>7412</v>
          </cell>
          <cell r="E4">
            <v>6</v>
          </cell>
          <cell r="F4">
            <v>1</v>
          </cell>
          <cell r="H4" t="str">
            <v>637-81-00645</v>
          </cell>
          <cell r="I4" t="str">
            <v>충북 괴산군 중부내륙고속도로 204 내고장으뜸상품판매장(상행선)</v>
          </cell>
          <cell r="J4" t="str">
            <v>강흥수</v>
          </cell>
          <cell r="K4" t="str">
            <v>이옥화</v>
          </cell>
          <cell r="L4" t="str">
            <v>010-9557-4564</v>
          </cell>
          <cell r="M4" t="str">
            <v>콘플레이크천마차골드(18g*90p)</v>
          </cell>
          <cell r="N4" t="str">
            <v>18g*90p</v>
          </cell>
          <cell r="O4">
            <v>16000</v>
          </cell>
          <cell r="P4">
            <v>6</v>
          </cell>
          <cell r="Q4">
            <v>96000</v>
          </cell>
        </row>
        <row r="5">
          <cell r="A5">
            <v>0</v>
          </cell>
          <cell r="B5" t="str">
            <v>1.영농조합법인장연씨유(상행선)</v>
          </cell>
          <cell r="C5">
            <v>45999</v>
          </cell>
          <cell r="D5">
            <v>3308</v>
          </cell>
          <cell r="E5">
            <v>20</v>
          </cell>
          <cell r="F5">
            <v>1</v>
          </cell>
          <cell r="H5" t="str">
            <v>637-81-00645</v>
          </cell>
          <cell r="I5" t="str">
            <v>충북 괴산군 중부내륙고속도로 204 내고장으뜸상품판매장(상행선)</v>
          </cell>
          <cell r="J5" t="str">
            <v>강흥수</v>
          </cell>
          <cell r="K5" t="str">
            <v>이옥화</v>
          </cell>
          <cell r="L5" t="str">
            <v>010-9557-4564</v>
          </cell>
          <cell r="M5" t="str">
            <v>삼누리홍삼건빵</v>
          </cell>
          <cell r="N5" t="str">
            <v>400g</v>
          </cell>
          <cell r="O5">
            <v>1900</v>
          </cell>
          <cell r="P5">
            <v>20</v>
          </cell>
          <cell r="Q5">
            <v>38000</v>
          </cell>
        </row>
        <row r="6">
          <cell r="A6">
            <v>0</v>
          </cell>
          <cell r="B6" t="str">
            <v>2.영농조합법인장연씨유(하행선)</v>
          </cell>
          <cell r="C6">
            <v>46013</v>
          </cell>
          <cell r="D6">
            <v>3476</v>
          </cell>
          <cell r="E6">
            <v>80</v>
          </cell>
          <cell r="F6">
            <v>2</v>
          </cell>
          <cell r="H6" t="str">
            <v>637-81-00645</v>
          </cell>
          <cell r="I6" t="str">
            <v>충북 괴산군 장연면 중부내륙고속도로 205 로컬푸드행복장터(하행선)</v>
          </cell>
          <cell r="J6" t="str">
            <v>강흥수</v>
          </cell>
          <cell r="K6" t="str">
            <v>박의순</v>
          </cell>
          <cell r="L6" t="str">
            <v>010-3379-9723</v>
          </cell>
          <cell r="M6" t="str">
            <v>삼누리인삼한뿌리와홍삼</v>
          </cell>
          <cell r="N6" t="str">
            <v>120ml</v>
          </cell>
          <cell r="O6">
            <v>1500</v>
          </cell>
          <cell r="P6">
            <v>80</v>
          </cell>
          <cell r="Q6">
            <v>120000</v>
          </cell>
        </row>
        <row r="7">
          <cell r="A7">
            <v>0</v>
          </cell>
          <cell r="B7" t="str">
            <v>2.영농조합법인장연씨유(하행선)</v>
          </cell>
          <cell r="C7">
            <v>46013</v>
          </cell>
          <cell r="D7">
            <v>7412</v>
          </cell>
          <cell r="E7">
            <v>6</v>
          </cell>
          <cell r="F7">
            <v>1</v>
          </cell>
          <cell r="H7" t="str">
            <v>637-81-00645</v>
          </cell>
          <cell r="I7" t="str">
            <v>충북 괴산군 장연면 중부내륙고속도로 205 로컬푸드행복장터(하행선)</v>
          </cell>
          <cell r="J7" t="str">
            <v>강흥수</v>
          </cell>
          <cell r="K7" t="str">
            <v>박의순</v>
          </cell>
          <cell r="L7" t="str">
            <v>010-3379-9723</v>
          </cell>
          <cell r="M7" t="str">
            <v>콘플레이크천마차골드(18g*90p)</v>
          </cell>
          <cell r="N7" t="str">
            <v>18g*90p</v>
          </cell>
          <cell r="O7">
            <v>16000</v>
          </cell>
          <cell r="P7">
            <v>6</v>
          </cell>
          <cell r="Q7">
            <v>96000</v>
          </cell>
        </row>
        <row r="8">
          <cell r="A8">
            <v>0</v>
          </cell>
          <cell r="B8" t="str">
            <v>2.영농조합법인장연씨유(하행선)</v>
          </cell>
          <cell r="C8">
            <v>46013</v>
          </cell>
          <cell r="D8">
            <v>9096</v>
          </cell>
          <cell r="E8">
            <v>20</v>
          </cell>
          <cell r="F8">
            <v>1</v>
          </cell>
          <cell r="H8" t="str">
            <v>637-81-00645</v>
          </cell>
          <cell r="I8" t="str">
            <v>충북 괴산군 장연면 중부내륙고속도로 205 로컬푸드행복장터(하행선)</v>
          </cell>
          <cell r="J8" t="str">
            <v>강흥수</v>
          </cell>
          <cell r="K8" t="str">
            <v>박의순</v>
          </cell>
          <cell r="L8" t="str">
            <v>010-3379-9723</v>
          </cell>
          <cell r="M8" t="str">
            <v>삼누리홍삼젤리(500g)</v>
          </cell>
          <cell r="N8" t="str">
            <v>500g</v>
          </cell>
          <cell r="O8">
            <v>5000</v>
          </cell>
          <cell r="P8">
            <v>20</v>
          </cell>
          <cell r="Q8">
            <v>100000</v>
          </cell>
        </row>
        <row r="9">
          <cell r="A9">
            <v>0</v>
          </cell>
          <cell r="B9" t="str">
            <v>2.영농조합법인장연씨유(하행선)</v>
          </cell>
          <cell r="C9">
            <v>46013</v>
          </cell>
          <cell r="D9">
            <v>3261</v>
          </cell>
          <cell r="E9">
            <v>30</v>
          </cell>
          <cell r="F9">
            <v>1</v>
          </cell>
          <cell r="H9" t="str">
            <v>637-81-00645</v>
          </cell>
          <cell r="I9" t="str">
            <v>충북 괴산군 장연면 중부내륙고속도로 205 로컬푸드행복장터(하행선)</v>
          </cell>
          <cell r="J9" t="str">
            <v>강흥수</v>
          </cell>
          <cell r="K9" t="str">
            <v>박의순</v>
          </cell>
          <cell r="L9" t="str">
            <v>010-3379-9723</v>
          </cell>
          <cell r="M9" t="str">
            <v>6년근홍삼정캔디(200g)</v>
          </cell>
          <cell r="N9" t="str">
            <v>200g</v>
          </cell>
          <cell r="O9">
            <v>1800</v>
          </cell>
          <cell r="P9">
            <v>30</v>
          </cell>
          <cell r="Q9">
            <v>54000</v>
          </cell>
        </row>
        <row r="10">
          <cell r="A10">
            <v>0</v>
          </cell>
          <cell r="B10" t="str">
            <v>1.영농조합법인장연씨유(상행선)</v>
          </cell>
          <cell r="C10">
            <v>46013</v>
          </cell>
          <cell r="D10">
            <v>9096</v>
          </cell>
          <cell r="E10">
            <v>20</v>
          </cell>
          <cell r="F10">
            <v>1</v>
          </cell>
          <cell r="H10" t="str">
            <v>637-81-00645</v>
          </cell>
          <cell r="I10" t="str">
            <v>충북 괴산군 중부내륙고속도로 204 내고장으뜸상품판매장(상행선)</v>
          </cell>
          <cell r="J10" t="str">
            <v>강흥수</v>
          </cell>
          <cell r="K10" t="str">
            <v>이옥화</v>
          </cell>
          <cell r="L10" t="str">
            <v>010-9557-4564</v>
          </cell>
          <cell r="M10" t="str">
            <v>삼누리홍삼젤리(500g)</v>
          </cell>
          <cell r="N10" t="str">
            <v>500g</v>
          </cell>
          <cell r="O10">
            <v>5000</v>
          </cell>
          <cell r="P10">
            <v>20</v>
          </cell>
          <cell r="Q10">
            <v>100000</v>
          </cell>
        </row>
        <row r="11">
          <cell r="A11">
            <v>0</v>
          </cell>
          <cell r="B11" t="str">
            <v>1.영농조합법인장연씨유(상행선)</v>
          </cell>
          <cell r="C11">
            <v>46013</v>
          </cell>
          <cell r="D11">
            <v>7412</v>
          </cell>
          <cell r="E11">
            <v>12</v>
          </cell>
          <cell r="F11">
            <v>2</v>
          </cell>
          <cell r="H11" t="str">
            <v>637-81-00645</v>
          </cell>
          <cell r="I11" t="str">
            <v>충북 괴산군 중부내륙고속도로 204 내고장으뜸상품판매장(상행선)</v>
          </cell>
          <cell r="J11" t="str">
            <v>강흥수</v>
          </cell>
          <cell r="K11" t="str">
            <v>이옥화</v>
          </cell>
          <cell r="L11" t="str">
            <v>010-9557-4564</v>
          </cell>
          <cell r="M11" t="str">
            <v>콘플레이크천마차골드(18g*90p)</v>
          </cell>
          <cell r="N11" t="str">
            <v>18g*90p</v>
          </cell>
          <cell r="O11">
            <v>16000</v>
          </cell>
          <cell r="P11">
            <v>12</v>
          </cell>
          <cell r="Q11">
            <v>192000</v>
          </cell>
        </row>
        <row r="12">
          <cell r="A12">
            <v>0</v>
          </cell>
          <cell r="B12" t="str">
            <v>1.영농조합법인장연씨유(상행선)</v>
          </cell>
          <cell r="C12">
            <v>46013</v>
          </cell>
          <cell r="D12">
            <v>3476</v>
          </cell>
          <cell r="E12">
            <v>80</v>
          </cell>
          <cell r="F12">
            <v>2</v>
          </cell>
          <cell r="H12" t="str">
            <v>637-81-00645</v>
          </cell>
          <cell r="I12" t="str">
            <v>충북 괴산군 중부내륙고속도로 204 내고장으뜸상품판매장(상행선)</v>
          </cell>
          <cell r="J12" t="str">
            <v>강흥수</v>
          </cell>
          <cell r="K12" t="str">
            <v>이옥화</v>
          </cell>
          <cell r="L12" t="str">
            <v>010-9557-4564</v>
          </cell>
          <cell r="M12" t="str">
            <v>삼누리인삼한뿌리와홍삼</v>
          </cell>
          <cell r="N12" t="str">
            <v>120ml</v>
          </cell>
          <cell r="O12">
            <v>1500</v>
          </cell>
          <cell r="P12">
            <v>80</v>
          </cell>
          <cell r="Q12">
            <v>120000</v>
          </cell>
        </row>
        <row r="13">
          <cell r="A13">
            <v>0</v>
          </cell>
          <cell r="B13" t="str">
            <v>1.영농조합법인장연씨유(상행선)</v>
          </cell>
          <cell r="C13">
            <v>46013</v>
          </cell>
          <cell r="D13">
            <v>5982</v>
          </cell>
          <cell r="E13">
            <v>50</v>
          </cell>
          <cell r="F13">
            <v>1</v>
          </cell>
          <cell r="H13" t="str">
            <v>637-81-00645</v>
          </cell>
          <cell r="I13" t="str">
            <v>충북 괴산군 중부내륙고속도로 204 내고장으뜸상품판매장(상행선)</v>
          </cell>
          <cell r="J13" t="str">
            <v>강흥수</v>
          </cell>
          <cell r="K13" t="str">
            <v>이옥화</v>
          </cell>
          <cell r="L13" t="str">
            <v>010-9557-4564</v>
          </cell>
          <cell r="M13" t="str">
            <v>천년홍삼보</v>
          </cell>
          <cell r="N13" t="str">
            <v>100ml</v>
          </cell>
          <cell r="O13">
            <v>1300</v>
          </cell>
          <cell r="P13">
            <v>50</v>
          </cell>
          <cell r="Q13">
            <v>65000</v>
          </cell>
        </row>
        <row r="14">
          <cell r="A14">
            <v>0</v>
          </cell>
          <cell r="B14" t="str">
            <v>홍애삼</v>
          </cell>
          <cell r="C14">
            <v>46020</v>
          </cell>
          <cell r="D14">
            <v>3780</v>
          </cell>
          <cell r="E14">
            <v>10</v>
          </cell>
          <cell r="H14" t="str">
            <v>301-27-65510</v>
          </cell>
          <cell r="I14" t="str">
            <v>충청북도 증평군 증평읍 중부로 2451</v>
          </cell>
          <cell r="J14" t="str">
            <v>성하경</v>
          </cell>
          <cell r="K14" t="str">
            <v>성하경</v>
          </cell>
          <cell r="L14" t="str">
            <v>010-9624-4779</v>
          </cell>
          <cell r="M14" t="str">
            <v>홍삼정골드데일리마일드</v>
          </cell>
          <cell r="N14" t="str">
            <v>10ml*30포</v>
          </cell>
          <cell r="O14">
            <v>18000</v>
          </cell>
          <cell r="P14">
            <v>10</v>
          </cell>
          <cell r="Q14">
            <v>180000</v>
          </cell>
        </row>
        <row r="15">
          <cell r="A15">
            <v>0</v>
          </cell>
          <cell r="B15" t="str">
            <v>홍애삼</v>
          </cell>
          <cell r="C15">
            <v>46020</v>
          </cell>
          <cell r="D15">
            <v>7443</v>
          </cell>
          <cell r="E15">
            <v>5</v>
          </cell>
          <cell r="H15" t="str">
            <v>301-27-65510</v>
          </cell>
          <cell r="I15" t="str">
            <v>충청북도 증평군 증평읍 중부로 2451</v>
          </cell>
          <cell r="J15" t="str">
            <v>성하경</v>
          </cell>
          <cell r="K15" t="str">
            <v>성하경</v>
          </cell>
          <cell r="L15" t="str">
            <v>010-9624-4779</v>
          </cell>
          <cell r="M15" t="str">
            <v>명품녹용홍삼진액</v>
          </cell>
          <cell r="N15" t="str">
            <v>60ml*30포</v>
          </cell>
          <cell r="O15">
            <v>18000</v>
          </cell>
          <cell r="P15">
            <v>5</v>
          </cell>
          <cell r="Q15">
            <v>90000</v>
          </cell>
        </row>
        <row r="16">
          <cell r="A16">
            <v>0</v>
          </cell>
          <cell r="B16" t="str">
            <v>홍애삼</v>
          </cell>
          <cell r="C16">
            <v>46020</v>
          </cell>
          <cell r="D16">
            <v>7757</v>
          </cell>
          <cell r="E16">
            <v>2</v>
          </cell>
          <cell r="H16" t="str">
            <v>301-27-65510</v>
          </cell>
          <cell r="I16" t="str">
            <v>충청북도 증평군 증평읍 중부로 2451</v>
          </cell>
          <cell r="J16" t="str">
            <v>성하경</v>
          </cell>
          <cell r="K16" t="str">
            <v>성하경</v>
          </cell>
          <cell r="L16" t="str">
            <v>010-9624-4779</v>
          </cell>
          <cell r="M16" t="str">
            <v>프리미엄활력홍삼진액골드</v>
          </cell>
          <cell r="N16" t="str">
            <v>60ml*30포</v>
          </cell>
          <cell r="O16">
            <v>18000</v>
          </cell>
          <cell r="P16">
            <v>2</v>
          </cell>
          <cell r="Q16">
            <v>36000</v>
          </cell>
        </row>
        <row r="17">
          <cell r="A17">
            <v>0</v>
          </cell>
          <cell r="B17" t="str">
            <v>홍애삼</v>
          </cell>
          <cell r="C17">
            <v>46020</v>
          </cell>
          <cell r="D17">
            <v>4527</v>
          </cell>
          <cell r="E17">
            <v>2</v>
          </cell>
          <cell r="H17" t="str">
            <v>301-27-65510</v>
          </cell>
          <cell r="I17" t="str">
            <v>충청북도 증평군 증평읍 중부로 2451</v>
          </cell>
          <cell r="J17" t="str">
            <v>성하경</v>
          </cell>
          <cell r="K17" t="str">
            <v>성하경</v>
          </cell>
          <cell r="L17" t="str">
            <v>010-9624-4779</v>
          </cell>
          <cell r="M17" t="str">
            <v>6년양삼30지 (300g)</v>
          </cell>
          <cell r="N17" t="str">
            <v>300g</v>
          </cell>
          <cell r="O17">
            <v>116000</v>
          </cell>
          <cell r="P17">
            <v>2</v>
          </cell>
          <cell r="Q17">
            <v>232000</v>
          </cell>
        </row>
        <row r="18">
          <cell r="A18">
            <v>0</v>
          </cell>
          <cell r="B18" t="str">
            <v>증평농수축유통(글로벌진생)</v>
          </cell>
          <cell r="C18">
            <v>46020</v>
          </cell>
          <cell r="D18">
            <v>3285</v>
          </cell>
          <cell r="E18">
            <v>3</v>
          </cell>
          <cell r="H18" t="str">
            <v>301-85-45509</v>
          </cell>
          <cell r="I18" t="str">
            <v>충청북도 증평군 증평읍 중부로 2451</v>
          </cell>
          <cell r="J18" t="str">
            <v>임재욱</v>
          </cell>
          <cell r="K18" t="str">
            <v>정남성</v>
          </cell>
          <cell r="L18" t="str">
            <v>010-4535-1823</v>
          </cell>
          <cell r="M18" t="str">
            <v>고려홍삼진한액골드</v>
          </cell>
          <cell r="N18" t="str">
            <v>80ml*60포</v>
          </cell>
          <cell r="O18">
            <v>90000</v>
          </cell>
          <cell r="P18">
            <v>3</v>
          </cell>
          <cell r="Q18">
            <v>270000</v>
          </cell>
        </row>
        <row r="19"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 xml:space="preserve"> </v>
          </cell>
          <cell r="N19" t="str">
            <v xml:space="preserve"> </v>
          </cell>
          <cell r="O19" t="str">
            <v xml:space="preserve"> </v>
          </cell>
          <cell r="P19">
            <v>0</v>
          </cell>
          <cell r="Q19">
            <v>0</v>
          </cell>
        </row>
        <row r="20">
          <cell r="A20">
            <v>0</v>
          </cell>
          <cell r="B20" t="str">
            <v>홍애삼</v>
          </cell>
          <cell r="C20">
            <v>46031</v>
          </cell>
          <cell r="D20">
            <v>628</v>
          </cell>
          <cell r="E20">
            <v>12</v>
          </cell>
          <cell r="H20" t="str">
            <v>301-27-65510</v>
          </cell>
          <cell r="I20" t="str">
            <v>충청북도 증평군 증평읍 중부로 2451</v>
          </cell>
          <cell r="J20" t="str">
            <v>성하경</v>
          </cell>
          <cell r="K20" t="str">
            <v>성하경</v>
          </cell>
          <cell r="L20" t="str">
            <v>010-9624-4779</v>
          </cell>
          <cell r="M20" t="str">
            <v>홍삼정골드(프리미엄)</v>
          </cell>
          <cell r="N20" t="str">
            <v>240g</v>
          </cell>
          <cell r="O20">
            <v>90000</v>
          </cell>
          <cell r="P20">
            <v>12</v>
          </cell>
          <cell r="Q20">
            <v>1080000</v>
          </cell>
        </row>
        <row r="21">
          <cell r="A21">
            <v>0</v>
          </cell>
          <cell r="B21" t="str">
            <v>홍애삼</v>
          </cell>
          <cell r="C21">
            <v>46031</v>
          </cell>
          <cell r="D21">
            <v>3780</v>
          </cell>
          <cell r="E21">
            <v>20</v>
          </cell>
          <cell r="H21" t="str">
            <v>301-27-65510</v>
          </cell>
          <cell r="I21" t="str">
            <v>충청북도 증평군 증평읍 중부로 2451</v>
          </cell>
          <cell r="J21" t="str">
            <v>성하경</v>
          </cell>
          <cell r="K21" t="str">
            <v>성하경</v>
          </cell>
          <cell r="L21" t="str">
            <v>010-9624-4779</v>
          </cell>
          <cell r="M21" t="str">
            <v>홍삼정골드데일리마일드</v>
          </cell>
          <cell r="N21" t="str">
            <v>10ml*30포</v>
          </cell>
          <cell r="O21">
            <v>18000</v>
          </cell>
          <cell r="P21">
            <v>20</v>
          </cell>
          <cell r="Q21">
            <v>360000</v>
          </cell>
        </row>
        <row r="22">
          <cell r="A22">
            <v>0</v>
          </cell>
          <cell r="B22" t="str">
            <v>홍애삼</v>
          </cell>
          <cell r="C22">
            <v>46031</v>
          </cell>
          <cell r="D22">
            <v>3421</v>
          </cell>
          <cell r="E22">
            <v>5</v>
          </cell>
          <cell r="H22" t="str">
            <v>301-27-65510</v>
          </cell>
          <cell r="I22" t="str">
            <v>충청북도 증평군 증평읍 중부로 2451</v>
          </cell>
          <cell r="J22" t="str">
            <v>성하경</v>
          </cell>
          <cell r="K22" t="str">
            <v>성하경</v>
          </cell>
          <cell r="L22" t="str">
            <v>010-9624-4779</v>
          </cell>
          <cell r="M22" t="str">
            <v>봉밀절편홍삼 (8p)</v>
          </cell>
          <cell r="N22" t="str">
            <v>20g*8p</v>
          </cell>
          <cell r="O22">
            <v>22000</v>
          </cell>
          <cell r="P22">
            <v>5</v>
          </cell>
          <cell r="Q22">
            <v>110000</v>
          </cell>
        </row>
        <row r="23"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 xml:space="preserve"> </v>
          </cell>
          <cell r="N23" t="str">
            <v xml:space="preserve"> </v>
          </cell>
          <cell r="O23" t="str">
            <v xml:space="preserve"> </v>
          </cell>
          <cell r="P23">
            <v>0</v>
          </cell>
          <cell r="Q23">
            <v>0</v>
          </cell>
        </row>
        <row r="24">
          <cell r="A24">
            <v>0</v>
          </cell>
          <cell r="B24" t="str">
            <v>증평농수축유통(글로벌진생)</v>
          </cell>
          <cell r="C24">
            <v>46031</v>
          </cell>
          <cell r="D24">
            <v>628</v>
          </cell>
          <cell r="E24">
            <v>10</v>
          </cell>
          <cell r="H24" t="str">
            <v>301-85-45509</v>
          </cell>
          <cell r="I24" t="str">
            <v>충청북도 증평군 증평읍 중부로 2451</v>
          </cell>
          <cell r="J24" t="str">
            <v>임재욱</v>
          </cell>
          <cell r="K24" t="str">
            <v>정남성</v>
          </cell>
          <cell r="L24" t="str">
            <v>010-4535-1823</v>
          </cell>
          <cell r="M24" t="str">
            <v>홍삼정골드(프리미엄)</v>
          </cell>
          <cell r="N24" t="str">
            <v>240g</v>
          </cell>
          <cell r="O24">
            <v>90000</v>
          </cell>
          <cell r="P24">
            <v>10</v>
          </cell>
          <cell r="Q24">
            <v>900000</v>
          </cell>
        </row>
        <row r="25">
          <cell r="A25">
            <v>0</v>
          </cell>
          <cell r="B25" t="str">
            <v>증평농수축유통(글로벌진생)</v>
          </cell>
          <cell r="C25">
            <v>46031</v>
          </cell>
          <cell r="D25">
            <v>3179</v>
          </cell>
          <cell r="E25">
            <v>6</v>
          </cell>
          <cell r="H25" t="str">
            <v>301-85-45509</v>
          </cell>
          <cell r="I25" t="str">
            <v>충청북도 증평군 증평읍 중부로 2451</v>
          </cell>
          <cell r="J25" t="str">
            <v>임재욱</v>
          </cell>
          <cell r="K25" t="str">
            <v>정남성</v>
          </cell>
          <cell r="L25" t="str">
            <v>010-4535-1823</v>
          </cell>
          <cell r="M25" t="str">
            <v>홍삼정골드 데일리</v>
          </cell>
          <cell r="N25" t="str">
            <v>10ml*30포</v>
          </cell>
          <cell r="O25">
            <v>47000</v>
          </cell>
          <cell r="P25">
            <v>6</v>
          </cell>
          <cell r="Q25">
            <v>282000</v>
          </cell>
        </row>
        <row r="26">
          <cell r="A26">
            <v>0</v>
          </cell>
          <cell r="B26" t="str">
            <v>건강백세</v>
          </cell>
          <cell r="C26">
            <v>46031</v>
          </cell>
          <cell r="D26">
            <v>628</v>
          </cell>
          <cell r="E26">
            <v>10</v>
          </cell>
          <cell r="H26" t="str">
            <v>301-32-89404</v>
          </cell>
          <cell r="I26" t="str">
            <v>충청북도 증평군 증평읍 중부로 2451</v>
          </cell>
          <cell r="J26" t="str">
            <v>조금주</v>
          </cell>
          <cell r="K26" t="str">
            <v>조금주</v>
          </cell>
          <cell r="L26" t="str">
            <v>010-3024-4857</v>
          </cell>
          <cell r="M26" t="str">
            <v>홍삼정골드(프리미엄)</v>
          </cell>
          <cell r="N26" t="str">
            <v>240g</v>
          </cell>
          <cell r="O26">
            <v>90000</v>
          </cell>
          <cell r="P26">
            <v>10</v>
          </cell>
          <cell r="Q26">
            <v>900000</v>
          </cell>
        </row>
        <row r="27">
          <cell r="A27">
            <v>0</v>
          </cell>
          <cell r="B27" t="str">
            <v>태원홍삼</v>
          </cell>
          <cell r="C27">
            <v>46031</v>
          </cell>
          <cell r="D27">
            <v>628</v>
          </cell>
          <cell r="E27">
            <v>7</v>
          </cell>
          <cell r="H27" t="str">
            <v>301-32-57649</v>
          </cell>
          <cell r="I27" t="str">
            <v>충청북도 증평군 증평읍 중부로 2451</v>
          </cell>
          <cell r="J27" t="str">
            <v>장병황</v>
          </cell>
          <cell r="K27" t="str">
            <v>배종여</v>
          </cell>
          <cell r="L27" t="str">
            <v>010-9406-1772</v>
          </cell>
          <cell r="M27" t="str">
            <v>홍삼정골드(프리미엄)</v>
          </cell>
          <cell r="N27" t="str">
            <v>240g</v>
          </cell>
          <cell r="O27">
            <v>90000</v>
          </cell>
          <cell r="P27">
            <v>7</v>
          </cell>
          <cell r="Q27">
            <v>630000</v>
          </cell>
        </row>
        <row r="28">
          <cell r="A28">
            <v>0</v>
          </cell>
          <cell r="B28" t="str">
            <v>홍애삼</v>
          </cell>
          <cell r="C28">
            <v>46031</v>
          </cell>
          <cell r="D28">
            <v>3179</v>
          </cell>
          <cell r="E28">
            <v>5</v>
          </cell>
          <cell r="H28" t="str">
            <v>301-27-65510</v>
          </cell>
          <cell r="I28" t="str">
            <v>충청북도 증평군 증평읍 중부로 2451</v>
          </cell>
          <cell r="J28" t="str">
            <v>성하경</v>
          </cell>
          <cell r="K28" t="str">
            <v>성하경</v>
          </cell>
          <cell r="L28" t="str">
            <v>010-9624-4779</v>
          </cell>
          <cell r="M28" t="str">
            <v>홍삼정골드 데일리</v>
          </cell>
          <cell r="N28" t="str">
            <v>10ml*30포</v>
          </cell>
          <cell r="O28">
            <v>47000</v>
          </cell>
          <cell r="P28">
            <v>5</v>
          </cell>
          <cell r="Q28">
            <v>235000</v>
          </cell>
        </row>
        <row r="29">
          <cell r="A29">
            <v>0</v>
          </cell>
          <cell r="B29" t="str">
            <v>홍애삼</v>
          </cell>
          <cell r="C29">
            <v>46031</v>
          </cell>
          <cell r="D29">
            <v>7443</v>
          </cell>
          <cell r="E29">
            <v>5</v>
          </cell>
          <cell r="H29" t="str">
            <v>301-27-65510</v>
          </cell>
          <cell r="I29" t="str">
            <v>충청북도 증평군 증평읍 중부로 2451</v>
          </cell>
          <cell r="J29" t="str">
            <v>성하경</v>
          </cell>
          <cell r="K29" t="str">
            <v>성하경</v>
          </cell>
          <cell r="L29" t="str">
            <v>010-9624-4779</v>
          </cell>
          <cell r="M29" t="str">
            <v>명품녹용홍삼진액</v>
          </cell>
          <cell r="N29" t="str">
            <v>60ml*30포</v>
          </cell>
          <cell r="O29">
            <v>18000</v>
          </cell>
          <cell r="P29">
            <v>5</v>
          </cell>
          <cell r="Q29">
            <v>90000</v>
          </cell>
        </row>
        <row r="30">
          <cell r="A30">
            <v>0</v>
          </cell>
          <cell r="B30" t="str">
            <v>태원홍삼</v>
          </cell>
          <cell r="C30">
            <v>46031</v>
          </cell>
          <cell r="D30">
            <v>3179</v>
          </cell>
          <cell r="E30">
            <v>4</v>
          </cell>
          <cell r="H30" t="str">
            <v>301-32-57649</v>
          </cell>
          <cell r="I30" t="str">
            <v>충청북도 증평군 증평읍 중부로 2451</v>
          </cell>
          <cell r="J30" t="str">
            <v>장병황</v>
          </cell>
          <cell r="K30" t="str">
            <v>배종여</v>
          </cell>
          <cell r="L30" t="str">
            <v>010-9406-1772</v>
          </cell>
          <cell r="M30" t="str">
            <v>홍삼정골드 데일리</v>
          </cell>
          <cell r="N30" t="str">
            <v>10ml*30포</v>
          </cell>
          <cell r="O30">
            <v>47000</v>
          </cell>
          <cell r="P30">
            <v>4</v>
          </cell>
          <cell r="Q30">
            <v>188000</v>
          </cell>
        </row>
        <row r="31">
          <cell r="A31">
            <v>0</v>
          </cell>
          <cell r="B31" t="str">
            <v>태원홍삼</v>
          </cell>
          <cell r="C31">
            <v>46031</v>
          </cell>
          <cell r="D31">
            <v>3780</v>
          </cell>
          <cell r="E31">
            <v>10</v>
          </cell>
          <cell r="H31" t="str">
            <v>301-32-57649</v>
          </cell>
          <cell r="I31" t="str">
            <v>충청북도 증평군 증평읍 중부로 2451</v>
          </cell>
          <cell r="J31" t="str">
            <v>장병황</v>
          </cell>
          <cell r="K31" t="str">
            <v>배종여</v>
          </cell>
          <cell r="L31" t="str">
            <v>010-9406-1772</v>
          </cell>
          <cell r="M31" t="str">
            <v>홍삼정골드데일리마일드</v>
          </cell>
          <cell r="N31" t="str">
            <v>10ml*30포</v>
          </cell>
          <cell r="O31">
            <v>18000</v>
          </cell>
          <cell r="P31">
            <v>10</v>
          </cell>
          <cell r="Q31">
            <v>180000</v>
          </cell>
        </row>
        <row r="32">
          <cell r="A32">
            <v>0</v>
          </cell>
          <cell r="B32" t="str">
            <v>마뜬</v>
          </cell>
          <cell r="C32">
            <v>46031</v>
          </cell>
          <cell r="D32">
            <v>628</v>
          </cell>
          <cell r="E32">
            <v>5</v>
          </cell>
          <cell r="H32" t="str">
            <v>301-32-5849</v>
          </cell>
          <cell r="I32" t="str">
            <v>충청북도 증평군 증평읍 중부로 2451</v>
          </cell>
          <cell r="J32" t="str">
            <v>반일병</v>
          </cell>
          <cell r="K32" t="str">
            <v>송영란</v>
          </cell>
          <cell r="L32" t="str">
            <v>010-4128-3052</v>
          </cell>
          <cell r="M32" t="str">
            <v>홍삼정골드(프리미엄)</v>
          </cell>
          <cell r="N32" t="str">
            <v>240g</v>
          </cell>
          <cell r="O32">
            <v>90000</v>
          </cell>
          <cell r="P32">
            <v>5</v>
          </cell>
          <cell r="Q32">
            <v>450000</v>
          </cell>
        </row>
        <row r="33">
          <cell r="A33">
            <v>0</v>
          </cell>
          <cell r="B33" t="str">
            <v>증평농수축유통(글로벌진생)</v>
          </cell>
          <cell r="C33">
            <v>46031</v>
          </cell>
          <cell r="D33">
            <v>1090</v>
          </cell>
          <cell r="E33">
            <v>3</v>
          </cell>
          <cell r="H33" t="str">
            <v>301-85-45509</v>
          </cell>
          <cell r="I33" t="str">
            <v>충청북도 증평군 증평읍 중부로 2451</v>
          </cell>
          <cell r="J33" t="str">
            <v>임재욱</v>
          </cell>
          <cell r="K33" t="str">
            <v>정남성</v>
          </cell>
          <cell r="L33" t="str">
            <v>010-4535-1823</v>
          </cell>
          <cell r="M33" t="str">
            <v>홍삼100 (60포)</v>
          </cell>
          <cell r="N33" t="str">
            <v>70ml*60포</v>
          </cell>
          <cell r="O33">
            <v>54000</v>
          </cell>
          <cell r="P33">
            <v>3</v>
          </cell>
          <cell r="Q33">
            <v>162000</v>
          </cell>
        </row>
        <row r="34">
          <cell r="A34">
            <v>0</v>
          </cell>
          <cell r="B34" t="str">
            <v>증평농수축유통(글로벌진생)</v>
          </cell>
          <cell r="C34">
            <v>46031</v>
          </cell>
          <cell r="D34">
            <v>3780</v>
          </cell>
          <cell r="E34">
            <v>10</v>
          </cell>
          <cell r="H34" t="str">
            <v>301-85-45509</v>
          </cell>
          <cell r="I34" t="str">
            <v>충청북도 증평군 증평읍 중부로 2451</v>
          </cell>
          <cell r="J34" t="str">
            <v>임재욱</v>
          </cell>
          <cell r="K34" t="str">
            <v>정남성</v>
          </cell>
          <cell r="L34" t="str">
            <v>010-4535-1823</v>
          </cell>
          <cell r="M34" t="str">
            <v>홍삼정골드데일리마일드</v>
          </cell>
          <cell r="N34" t="str">
            <v>10ml*30포</v>
          </cell>
          <cell r="O34">
            <v>18000</v>
          </cell>
          <cell r="P34">
            <v>10</v>
          </cell>
          <cell r="Q34">
            <v>180000</v>
          </cell>
        </row>
        <row r="35">
          <cell r="A35">
            <v>0</v>
          </cell>
          <cell r="B35" t="str">
            <v>농협홍삼한삼인청주금천점</v>
          </cell>
          <cell r="C35">
            <v>46038</v>
          </cell>
          <cell r="D35">
            <v>7832</v>
          </cell>
          <cell r="E35">
            <v>5</v>
          </cell>
          <cell r="F35">
            <v>1</v>
          </cell>
          <cell r="H35" t="str">
            <v>661-15-00736</v>
          </cell>
          <cell r="I35" t="str">
            <v>충청북도 청주시 상당구 호미로292 상가동 105호(금천동)</v>
          </cell>
          <cell r="J35" t="str">
            <v>양혜영</v>
          </cell>
          <cell r="K35" t="str">
            <v>양혜영</v>
          </cell>
          <cell r="L35" t="str">
            <v>010-4840-7450</v>
          </cell>
          <cell r="M35" t="str">
            <v>6년근홍삼흑염소진액골드</v>
          </cell>
          <cell r="N35" t="str">
            <v>60ml*30포</v>
          </cell>
          <cell r="O35">
            <v>20000</v>
          </cell>
          <cell r="P35">
            <v>5</v>
          </cell>
          <cell r="Q35">
            <v>100000</v>
          </cell>
        </row>
        <row r="36">
          <cell r="A36">
            <v>0</v>
          </cell>
          <cell r="B36" t="str">
            <v>토정한삼인</v>
          </cell>
          <cell r="C36">
            <v>46042</v>
          </cell>
          <cell r="D36">
            <v>3186</v>
          </cell>
          <cell r="E36">
            <v>30</v>
          </cell>
          <cell r="F36">
            <v>6</v>
          </cell>
          <cell r="H36" t="str">
            <v>501-29-18678</v>
          </cell>
          <cell r="I36" t="str">
            <v>청주시 흥덕구 풍년로 180번길 13 토정한삼인</v>
          </cell>
          <cell r="J36" t="str">
            <v>노윤서</v>
          </cell>
          <cell r="K36" t="str">
            <v>이순분</v>
          </cell>
          <cell r="L36" t="str">
            <v>010-3411-5056</v>
          </cell>
          <cell r="M36" t="str">
            <v>홍삼100 (30포)</v>
          </cell>
          <cell r="N36" t="str">
            <v>70ml*30포</v>
          </cell>
          <cell r="O36">
            <v>30000</v>
          </cell>
          <cell r="P36">
            <v>30</v>
          </cell>
          <cell r="Q36">
            <v>900000</v>
          </cell>
        </row>
        <row r="37">
          <cell r="A37">
            <v>0</v>
          </cell>
          <cell r="B37" t="str">
            <v>토정한삼인</v>
          </cell>
          <cell r="C37">
            <v>46042</v>
          </cell>
          <cell r="D37">
            <v>1090</v>
          </cell>
          <cell r="E37">
            <v>21</v>
          </cell>
          <cell r="F37">
            <v>7</v>
          </cell>
          <cell r="H37" t="str">
            <v>501-29-18678</v>
          </cell>
          <cell r="I37" t="str">
            <v>청주시 흥덕구 풍년로 180번길 13 토정한삼인</v>
          </cell>
          <cell r="J37" t="str">
            <v>노윤서</v>
          </cell>
          <cell r="K37" t="str">
            <v>이순분</v>
          </cell>
          <cell r="L37" t="str">
            <v>010-3411-5056</v>
          </cell>
          <cell r="M37" t="str">
            <v>홍삼100 (60포)</v>
          </cell>
          <cell r="N37" t="str">
            <v>70ml*60포</v>
          </cell>
          <cell r="O37">
            <v>54000</v>
          </cell>
          <cell r="P37">
            <v>21</v>
          </cell>
          <cell r="Q37">
            <v>1134000</v>
          </cell>
        </row>
        <row r="38">
          <cell r="A38">
            <v>0</v>
          </cell>
          <cell r="B38" t="str">
            <v>토정한삼인</v>
          </cell>
          <cell r="C38">
            <v>46042</v>
          </cell>
          <cell r="D38">
            <v>7634</v>
          </cell>
          <cell r="E38">
            <v>100</v>
          </cell>
          <cell r="F38">
            <v>20</v>
          </cell>
          <cell r="H38" t="str">
            <v>501-29-18678</v>
          </cell>
          <cell r="I38" t="str">
            <v>청주시 흥덕구 풍년로 180번길 13 토정한삼인</v>
          </cell>
          <cell r="J38" t="str">
            <v>노윤서</v>
          </cell>
          <cell r="K38" t="str">
            <v>이순분</v>
          </cell>
          <cell r="L38" t="str">
            <v>010-3411-5056</v>
          </cell>
          <cell r="M38" t="str">
            <v>명품6년근홍삼진액(30포)</v>
          </cell>
          <cell r="N38" t="str">
            <v>60ml*30포</v>
          </cell>
          <cell r="O38">
            <v>22000</v>
          </cell>
          <cell r="P38">
            <v>100</v>
          </cell>
          <cell r="Q38">
            <v>2200000</v>
          </cell>
        </row>
        <row r="39">
          <cell r="A39">
            <v>0</v>
          </cell>
          <cell r="B39" t="str">
            <v>명성물산한삼인</v>
          </cell>
          <cell r="C39">
            <v>46042</v>
          </cell>
          <cell r="D39">
            <v>2639</v>
          </cell>
          <cell r="E39">
            <v>10</v>
          </cell>
          <cell r="F39">
            <v>1</v>
          </cell>
          <cell r="H39" t="str">
            <v>609-24-24237</v>
          </cell>
          <cell r="I39" t="str">
            <v>김해시 장유로 149번길 16-7 명성물산</v>
          </cell>
          <cell r="J39" t="str">
            <v>전종배</v>
          </cell>
          <cell r="K39" t="str">
            <v>전종배</v>
          </cell>
          <cell r="L39" t="str">
            <v>010-9227-5988</v>
          </cell>
          <cell r="M39" t="str">
            <v>홍미삼(3등급) (300g)</v>
          </cell>
          <cell r="N39" t="str">
            <v>300g</v>
          </cell>
          <cell r="O39">
            <v>51000</v>
          </cell>
          <cell r="P39">
            <v>10</v>
          </cell>
          <cell r="Q39">
            <v>510000</v>
          </cell>
        </row>
        <row r="40">
          <cell r="A40">
            <v>0</v>
          </cell>
          <cell r="B40" t="str">
            <v>증평농수축유통(글로벌진생)</v>
          </cell>
          <cell r="C40">
            <v>46049</v>
          </cell>
          <cell r="D40">
            <v>7443</v>
          </cell>
          <cell r="E40">
            <v>55</v>
          </cell>
          <cell r="F40">
            <v>11</v>
          </cell>
          <cell r="H40" t="str">
            <v>301-85-45509</v>
          </cell>
          <cell r="I40" t="str">
            <v>충청북도 증평군 증평읍 중부로 2451</v>
          </cell>
          <cell r="J40" t="str">
            <v>임재욱</v>
          </cell>
          <cell r="K40" t="str">
            <v>정남성</v>
          </cell>
          <cell r="L40" t="str">
            <v>010-4535-1823</v>
          </cell>
          <cell r="M40" t="str">
            <v>명품녹용홍삼진액</v>
          </cell>
          <cell r="N40" t="str">
            <v>60ml*30포</v>
          </cell>
          <cell r="O40">
            <v>18000</v>
          </cell>
          <cell r="P40">
            <v>55</v>
          </cell>
          <cell r="Q40">
            <v>990000</v>
          </cell>
        </row>
        <row r="41">
          <cell r="A41">
            <v>0</v>
          </cell>
          <cell r="B41" t="str">
            <v>건강백세</v>
          </cell>
          <cell r="C41">
            <v>46049</v>
          </cell>
          <cell r="D41">
            <v>178</v>
          </cell>
          <cell r="E41">
            <v>5</v>
          </cell>
          <cell r="F41">
            <v>1</v>
          </cell>
          <cell r="H41" t="str">
            <v>301-32-89404</v>
          </cell>
          <cell r="I41" t="str">
            <v>충청북도 증평군 증평읍 중부로 2451</v>
          </cell>
          <cell r="J41" t="str">
            <v>조금주</v>
          </cell>
          <cell r="K41" t="str">
            <v>조금주</v>
          </cell>
          <cell r="L41" t="str">
            <v>010-3024-4857</v>
          </cell>
          <cell r="M41" t="str">
            <v>홍삼정골드진(6근)</v>
          </cell>
          <cell r="N41" t="str">
            <v>1.3g*30포</v>
          </cell>
          <cell r="O41">
            <v>21000</v>
          </cell>
          <cell r="P41">
            <v>5</v>
          </cell>
          <cell r="Q41">
            <v>105000</v>
          </cell>
        </row>
        <row r="42">
          <cell r="A42">
            <v>0</v>
          </cell>
          <cell r="B42" t="str">
            <v>건강백세</v>
          </cell>
          <cell r="C42">
            <v>46049</v>
          </cell>
          <cell r="D42">
            <v>3285</v>
          </cell>
          <cell r="E42">
            <v>3</v>
          </cell>
          <cell r="F42">
            <v>1</v>
          </cell>
          <cell r="H42" t="str">
            <v>301-32-89404</v>
          </cell>
          <cell r="I42" t="str">
            <v>충청북도 증평군 증평읍 중부로 2451</v>
          </cell>
          <cell r="J42" t="str">
            <v>조금주</v>
          </cell>
          <cell r="K42" t="str">
            <v>조금주</v>
          </cell>
          <cell r="L42" t="str">
            <v>010-3024-4857</v>
          </cell>
          <cell r="M42" t="str">
            <v>고려홍삼진한액골드</v>
          </cell>
          <cell r="N42" t="str">
            <v>80ml*60포</v>
          </cell>
          <cell r="O42">
            <v>90000</v>
          </cell>
          <cell r="P42">
            <v>3</v>
          </cell>
          <cell r="Q42">
            <v>270000</v>
          </cell>
        </row>
        <row r="43">
          <cell r="A43">
            <v>0</v>
          </cell>
          <cell r="B43" t="str">
            <v>1.영농조합법인장연씨유(상행선)</v>
          </cell>
          <cell r="C43">
            <v>46049</v>
          </cell>
          <cell r="D43">
            <v>9096</v>
          </cell>
          <cell r="E43">
            <v>40</v>
          </cell>
          <cell r="F43">
            <v>2</v>
          </cell>
          <cell r="H43" t="str">
            <v>637-81-00645</v>
          </cell>
          <cell r="I43" t="str">
            <v>충북 괴산군 중부내륙고속도로 204 내고장으뜸상품판매장(상행선)</v>
          </cell>
          <cell r="J43" t="str">
            <v>강흥수</v>
          </cell>
          <cell r="K43" t="str">
            <v>이옥화</v>
          </cell>
          <cell r="L43" t="str">
            <v>010-9557-4564</v>
          </cell>
          <cell r="M43" t="str">
            <v>삼누리홍삼젤리(500g)</v>
          </cell>
          <cell r="N43" t="str">
            <v>500g</v>
          </cell>
          <cell r="O43">
            <v>5000</v>
          </cell>
          <cell r="P43">
            <v>40</v>
          </cell>
          <cell r="Q43">
            <v>200000</v>
          </cell>
        </row>
        <row r="44">
          <cell r="A44">
            <v>0</v>
          </cell>
          <cell r="B44" t="str">
            <v>1.영농조합법인장연씨유(상행선)</v>
          </cell>
          <cell r="C44">
            <v>46049</v>
          </cell>
          <cell r="D44">
            <v>7412</v>
          </cell>
          <cell r="E44">
            <v>6</v>
          </cell>
          <cell r="F44">
            <v>1</v>
          </cell>
          <cell r="H44" t="str">
            <v>637-81-00645</v>
          </cell>
          <cell r="I44" t="str">
            <v>충북 괴산군 중부내륙고속도로 204 내고장으뜸상품판매장(상행선)</v>
          </cell>
          <cell r="J44" t="str">
            <v>강흥수</v>
          </cell>
          <cell r="K44" t="str">
            <v>이옥화</v>
          </cell>
          <cell r="L44" t="str">
            <v>010-9557-4564</v>
          </cell>
          <cell r="M44" t="str">
            <v>콘플레이크천마차골드(18g*90p)</v>
          </cell>
          <cell r="N44" t="str">
            <v>18g*90p</v>
          </cell>
          <cell r="O44">
            <v>16000</v>
          </cell>
          <cell r="P44">
            <v>6</v>
          </cell>
          <cell r="Q44">
            <v>96000</v>
          </cell>
        </row>
        <row r="45">
          <cell r="A45">
            <v>0</v>
          </cell>
          <cell r="B45" t="str">
            <v>1.영농조합법인장연씨유(상행선)</v>
          </cell>
          <cell r="C45">
            <v>46049</v>
          </cell>
          <cell r="D45">
            <v>1113</v>
          </cell>
          <cell r="E45">
            <v>200</v>
          </cell>
          <cell r="F45">
            <v>1</v>
          </cell>
          <cell r="H45" t="str">
            <v>637-81-00645</v>
          </cell>
          <cell r="I45" t="str">
            <v>충북 괴산군 중부내륙고속도로 204 내고장으뜸상품판매장(상행선)</v>
          </cell>
          <cell r="J45" t="str">
            <v>강흥수</v>
          </cell>
          <cell r="K45" t="str">
            <v>이옥화</v>
          </cell>
          <cell r="L45" t="str">
            <v>010-9557-4564</v>
          </cell>
          <cell r="M45" t="str">
            <v>홍삼정과골드 (18g)</v>
          </cell>
          <cell r="N45" t="str">
            <v>18g</v>
          </cell>
          <cell r="O45">
            <v>2000</v>
          </cell>
          <cell r="P45">
            <v>200</v>
          </cell>
          <cell r="Q45">
            <v>400000</v>
          </cell>
        </row>
        <row r="46">
          <cell r="A46">
            <v>0</v>
          </cell>
          <cell r="B46" t="str">
            <v>태원홍삼</v>
          </cell>
          <cell r="C46">
            <v>46049</v>
          </cell>
          <cell r="D46">
            <v>3179</v>
          </cell>
          <cell r="E46">
            <v>5</v>
          </cell>
          <cell r="F46">
            <v>1</v>
          </cell>
          <cell r="H46" t="str">
            <v>301-32-57649</v>
          </cell>
          <cell r="I46" t="str">
            <v>충청북도 증평군 증평읍 중부로 2451</v>
          </cell>
          <cell r="J46" t="str">
            <v>장병황</v>
          </cell>
          <cell r="K46" t="str">
            <v>배종여</v>
          </cell>
          <cell r="L46" t="str">
            <v>010-9406-1772</v>
          </cell>
          <cell r="M46" t="str">
            <v>홍삼정골드 데일리</v>
          </cell>
          <cell r="N46" t="str">
            <v>10ml*30포</v>
          </cell>
          <cell r="O46">
            <v>47000</v>
          </cell>
          <cell r="P46">
            <v>5</v>
          </cell>
          <cell r="Q46">
            <v>235000</v>
          </cell>
        </row>
        <row r="47">
          <cell r="A47">
            <v>0</v>
          </cell>
          <cell r="B47" t="str">
            <v>홍애삼</v>
          </cell>
          <cell r="C47">
            <v>46057</v>
          </cell>
          <cell r="D47">
            <v>871</v>
          </cell>
          <cell r="E47">
            <v>5</v>
          </cell>
          <cell r="F47">
            <v>1</v>
          </cell>
          <cell r="H47" t="str">
            <v>301-27-65510</v>
          </cell>
          <cell r="I47" t="str">
            <v>충청북도 증평군 증평읍 중부로 2451</v>
          </cell>
          <cell r="J47" t="str">
            <v>성하경</v>
          </cell>
          <cell r="K47" t="str">
            <v>성하경</v>
          </cell>
          <cell r="L47" t="str">
            <v>010-9624-4779</v>
          </cell>
          <cell r="M47" t="str">
            <v>고려홍삼보(30포)</v>
          </cell>
          <cell r="N47" t="str">
            <v>70ml*30포</v>
          </cell>
          <cell r="O47">
            <v>27000</v>
          </cell>
          <cell r="P47">
            <v>5</v>
          </cell>
          <cell r="Q47">
            <v>135000</v>
          </cell>
        </row>
        <row r="48">
          <cell r="A48">
            <v>0</v>
          </cell>
          <cell r="B48" t="str">
            <v>홍애삼</v>
          </cell>
          <cell r="C48">
            <v>46057</v>
          </cell>
          <cell r="D48">
            <v>3285</v>
          </cell>
          <cell r="E48">
            <v>3</v>
          </cell>
          <cell r="F48">
            <v>1</v>
          </cell>
          <cell r="H48" t="str">
            <v>301-27-65510</v>
          </cell>
          <cell r="I48" t="str">
            <v>충청북도 증평군 증평읍 중부로 2451</v>
          </cell>
          <cell r="J48" t="str">
            <v>성하경</v>
          </cell>
          <cell r="K48" t="str">
            <v>성하경</v>
          </cell>
          <cell r="L48" t="str">
            <v>010-9624-4779</v>
          </cell>
          <cell r="M48" t="str">
            <v>고려홍삼진한액골드</v>
          </cell>
          <cell r="N48" t="str">
            <v>80ml*60포</v>
          </cell>
          <cell r="O48">
            <v>90000</v>
          </cell>
          <cell r="P48">
            <v>3</v>
          </cell>
          <cell r="Q48">
            <v>270000</v>
          </cell>
        </row>
        <row r="49">
          <cell r="A49">
            <v>0</v>
          </cell>
          <cell r="B49" t="str">
            <v>홍애삼</v>
          </cell>
          <cell r="C49">
            <v>46057</v>
          </cell>
          <cell r="D49">
            <v>3094</v>
          </cell>
          <cell r="E49">
            <v>30</v>
          </cell>
          <cell r="F49">
            <v>6</v>
          </cell>
          <cell r="H49" t="str">
            <v>301-27-65510</v>
          </cell>
          <cell r="I49" t="str">
            <v>충청북도 증평군 증평읍 중부로 2451</v>
          </cell>
          <cell r="J49" t="str">
            <v>성하경</v>
          </cell>
          <cell r="K49" t="str">
            <v>성하경</v>
          </cell>
          <cell r="L49" t="str">
            <v>010-9624-4779</v>
          </cell>
          <cell r="M49" t="str">
            <v>달콤한홍삼청(1Kg*2Ea)</v>
          </cell>
          <cell r="N49" t="str">
            <v>1kg*2</v>
          </cell>
          <cell r="O49">
            <v>16000</v>
          </cell>
          <cell r="P49">
            <v>30</v>
          </cell>
          <cell r="Q49">
            <v>480000</v>
          </cell>
        </row>
        <row r="50">
          <cell r="A50">
            <v>0</v>
          </cell>
          <cell r="B50" t="str">
            <v>태원홍삼</v>
          </cell>
          <cell r="C50">
            <v>46057</v>
          </cell>
          <cell r="D50">
            <v>3421</v>
          </cell>
          <cell r="E50">
            <v>7</v>
          </cell>
          <cell r="F50">
            <v>1</v>
          </cell>
          <cell r="H50" t="str">
            <v>301-32-57649</v>
          </cell>
          <cell r="I50" t="str">
            <v>충청북도 증평군 증평읍 중부로 2451</v>
          </cell>
          <cell r="J50" t="str">
            <v>장병황</v>
          </cell>
          <cell r="K50" t="str">
            <v>배종여</v>
          </cell>
          <cell r="L50" t="str">
            <v>010-9406-1772</v>
          </cell>
          <cell r="M50" t="str">
            <v>봉밀절편홍삼 (8p)</v>
          </cell>
          <cell r="N50" t="str">
            <v>20g*8p</v>
          </cell>
          <cell r="O50">
            <v>22000</v>
          </cell>
          <cell r="P50">
            <v>7</v>
          </cell>
          <cell r="Q50">
            <v>154000</v>
          </cell>
        </row>
        <row r="51">
          <cell r="A51">
            <v>0</v>
          </cell>
          <cell r="B51" t="str">
            <v>태원홍삼</v>
          </cell>
          <cell r="C51">
            <v>46057</v>
          </cell>
          <cell r="D51">
            <v>5029</v>
          </cell>
          <cell r="E51">
            <v>6</v>
          </cell>
          <cell r="F51">
            <v>1</v>
          </cell>
          <cell r="H51" t="str">
            <v>301-32-57649</v>
          </cell>
          <cell r="I51" t="str">
            <v>충청북도 증평군 증평읍 중부로 2451</v>
          </cell>
          <cell r="J51" t="str">
            <v>장병황</v>
          </cell>
          <cell r="K51" t="str">
            <v>배종여</v>
          </cell>
          <cell r="L51" t="str">
            <v>010-9406-1772</v>
          </cell>
          <cell r="M51" t="str">
            <v>황제침향원 (60환)</v>
          </cell>
          <cell r="N51" t="str">
            <v>60환</v>
          </cell>
          <cell r="O51">
            <v>55000</v>
          </cell>
          <cell r="P51">
            <v>6</v>
          </cell>
          <cell r="Q51">
            <v>330000</v>
          </cell>
        </row>
        <row r="52">
          <cell r="A52">
            <v>0</v>
          </cell>
          <cell r="B52" t="str">
            <v>태원홍삼</v>
          </cell>
          <cell r="C52">
            <v>46057</v>
          </cell>
          <cell r="D52">
            <v>3179</v>
          </cell>
          <cell r="E52">
            <v>5</v>
          </cell>
          <cell r="F52">
            <v>1</v>
          </cell>
          <cell r="H52" t="str">
            <v>301-32-57649</v>
          </cell>
          <cell r="I52" t="str">
            <v>충청북도 증평군 증평읍 중부로 2451</v>
          </cell>
          <cell r="J52" t="str">
            <v>장병황</v>
          </cell>
          <cell r="K52" t="str">
            <v>배종여</v>
          </cell>
          <cell r="L52" t="str">
            <v>010-9406-1772</v>
          </cell>
          <cell r="M52" t="str">
            <v>홍삼정골드 데일리</v>
          </cell>
          <cell r="N52" t="str">
            <v>10ml*30포</v>
          </cell>
          <cell r="O52">
            <v>47000</v>
          </cell>
          <cell r="P52">
            <v>5</v>
          </cell>
          <cell r="Q52">
            <v>235000</v>
          </cell>
        </row>
        <row r="53">
          <cell r="A53">
            <v>0</v>
          </cell>
          <cell r="B53" t="str">
            <v>홍애삼</v>
          </cell>
          <cell r="C53">
            <v>46058</v>
          </cell>
          <cell r="D53">
            <v>628</v>
          </cell>
          <cell r="E53">
            <v>12</v>
          </cell>
          <cell r="F53">
            <v>1</v>
          </cell>
          <cell r="H53" t="str">
            <v>301-27-65510</v>
          </cell>
          <cell r="I53" t="str">
            <v>충청북도 증평군 증평읍 중부로 2451</v>
          </cell>
          <cell r="J53" t="str">
            <v>성하경</v>
          </cell>
          <cell r="K53" t="str">
            <v>성하경</v>
          </cell>
          <cell r="L53" t="str">
            <v>010-9624-4779</v>
          </cell>
          <cell r="M53" t="str">
            <v>홍삼정골드(프리미엄)</v>
          </cell>
          <cell r="N53" t="str">
            <v>240g</v>
          </cell>
          <cell r="O53">
            <v>90000</v>
          </cell>
          <cell r="P53">
            <v>12</v>
          </cell>
          <cell r="Q53">
            <v>1080000</v>
          </cell>
        </row>
        <row r="54">
          <cell r="A54">
            <v>0</v>
          </cell>
          <cell r="B54" t="str">
            <v>건강백세</v>
          </cell>
          <cell r="C54">
            <v>46058</v>
          </cell>
          <cell r="D54">
            <v>628</v>
          </cell>
          <cell r="E54">
            <v>12</v>
          </cell>
          <cell r="F54">
            <v>1</v>
          </cell>
          <cell r="H54" t="str">
            <v>301-32-89404</v>
          </cell>
          <cell r="I54" t="str">
            <v>충청북도 증평군 증평읍 중부로 2451</v>
          </cell>
          <cell r="J54" t="str">
            <v>조금주</v>
          </cell>
          <cell r="K54" t="str">
            <v>조금주</v>
          </cell>
          <cell r="L54" t="str">
            <v>010-3024-4857</v>
          </cell>
          <cell r="M54" t="str">
            <v>홍삼정골드(프리미엄)</v>
          </cell>
          <cell r="N54" t="str">
            <v>240g</v>
          </cell>
          <cell r="O54">
            <v>90000</v>
          </cell>
          <cell r="P54">
            <v>12</v>
          </cell>
          <cell r="Q54">
            <v>1080000</v>
          </cell>
        </row>
        <row r="55">
          <cell r="A55">
            <v>0</v>
          </cell>
          <cell r="B55" t="str">
            <v>건강백세</v>
          </cell>
          <cell r="C55">
            <v>46058</v>
          </cell>
          <cell r="D55">
            <v>5029</v>
          </cell>
          <cell r="E55">
            <v>3</v>
          </cell>
          <cell r="F55">
            <v>1</v>
          </cell>
          <cell r="H55" t="str">
            <v>301-32-89404</v>
          </cell>
          <cell r="I55" t="str">
            <v>충청북도 증평군 증평읍 중부로 2451</v>
          </cell>
          <cell r="J55" t="str">
            <v>조금주</v>
          </cell>
          <cell r="K55" t="str">
            <v>조금주</v>
          </cell>
          <cell r="L55" t="str">
            <v>010-3024-4857</v>
          </cell>
          <cell r="M55" t="str">
            <v>황제침향원 (60환)</v>
          </cell>
          <cell r="N55" t="str">
            <v>60환</v>
          </cell>
          <cell r="O55">
            <v>55000</v>
          </cell>
          <cell r="P55">
            <v>3</v>
          </cell>
          <cell r="Q55">
            <v>165000</v>
          </cell>
        </row>
        <row r="56">
          <cell r="A56">
            <v>0</v>
          </cell>
          <cell r="B56" t="str">
            <v>건강백세</v>
          </cell>
          <cell r="C56">
            <v>46058</v>
          </cell>
          <cell r="D56">
            <v>3285</v>
          </cell>
          <cell r="E56">
            <v>3</v>
          </cell>
          <cell r="F56">
            <v>1</v>
          </cell>
          <cell r="H56" t="str">
            <v>301-32-89404</v>
          </cell>
          <cell r="I56" t="str">
            <v>충청북도 증평군 증평읍 중부로 2451</v>
          </cell>
          <cell r="J56" t="str">
            <v>조금주</v>
          </cell>
          <cell r="K56" t="str">
            <v>조금주</v>
          </cell>
          <cell r="L56" t="str">
            <v>010-3024-4857</v>
          </cell>
          <cell r="M56" t="str">
            <v>고려홍삼진한액골드</v>
          </cell>
          <cell r="N56" t="str">
            <v>80ml*60포</v>
          </cell>
          <cell r="O56">
            <v>90000</v>
          </cell>
          <cell r="P56">
            <v>3</v>
          </cell>
          <cell r="Q56">
            <v>270000</v>
          </cell>
        </row>
        <row r="57">
          <cell r="A57">
            <v>0</v>
          </cell>
          <cell r="B57" t="str">
            <v>영농조합법인 천삼농원</v>
          </cell>
          <cell r="C57">
            <v>46058</v>
          </cell>
          <cell r="D57">
            <v>7412</v>
          </cell>
          <cell r="E57">
            <v>12</v>
          </cell>
          <cell r="F57">
            <v>2</v>
          </cell>
          <cell r="H57" t="str">
            <v>890-87-02343</v>
          </cell>
          <cell r="I57" t="str">
            <v>충북 음성군 금왕읍 평택제천고속도로 70 로컬행복장터(하행선)</v>
          </cell>
          <cell r="J57" t="str">
            <v>조용빈</v>
          </cell>
          <cell r="K57" t="str">
            <v>구경숙</v>
          </cell>
          <cell r="L57" t="str">
            <v>010-7134-3058</v>
          </cell>
          <cell r="M57" t="str">
            <v>콘플레이크천마차골드(18g*90p)</v>
          </cell>
          <cell r="N57" t="str">
            <v>18g*90p</v>
          </cell>
          <cell r="O57">
            <v>16000</v>
          </cell>
          <cell r="P57">
            <v>12</v>
          </cell>
          <cell r="Q57">
            <v>192000</v>
          </cell>
        </row>
        <row r="58">
          <cell r="A58">
            <v>0</v>
          </cell>
          <cell r="B58" t="str">
            <v>영농조합법인 천삼농원</v>
          </cell>
          <cell r="C58">
            <v>46058</v>
          </cell>
          <cell r="D58">
            <v>3308</v>
          </cell>
          <cell r="E58">
            <v>20</v>
          </cell>
          <cell r="F58">
            <v>1</v>
          </cell>
          <cell r="H58" t="str">
            <v>890-87-02343</v>
          </cell>
          <cell r="I58" t="str">
            <v>충북 음성군 금왕읍 평택제천고속도로 70 로컬행복장터(하행선)</v>
          </cell>
          <cell r="J58" t="str">
            <v>조용빈</v>
          </cell>
          <cell r="K58" t="str">
            <v>구경숙</v>
          </cell>
          <cell r="L58" t="str">
            <v>010-7134-3058</v>
          </cell>
          <cell r="M58" t="str">
            <v>삼누리홍삼건빵</v>
          </cell>
          <cell r="N58" t="str">
            <v>400g</v>
          </cell>
          <cell r="O58">
            <v>1900</v>
          </cell>
          <cell r="P58">
            <v>20</v>
          </cell>
          <cell r="Q58">
            <v>38000</v>
          </cell>
        </row>
        <row r="59">
          <cell r="A59">
            <v>0</v>
          </cell>
          <cell r="B59" t="str">
            <v>영농조합법인 천삼농원</v>
          </cell>
          <cell r="C59">
            <v>46058</v>
          </cell>
          <cell r="D59">
            <v>7399</v>
          </cell>
          <cell r="E59">
            <v>10</v>
          </cell>
          <cell r="F59">
            <v>2</v>
          </cell>
          <cell r="H59" t="str">
            <v>890-87-02343</v>
          </cell>
          <cell r="I59" t="str">
            <v>충북 음성군 금왕읍 평택제천고속도로 70 로컬행복장터(하행선)</v>
          </cell>
          <cell r="J59" t="str">
            <v>조용빈</v>
          </cell>
          <cell r="K59" t="str">
            <v>구경숙</v>
          </cell>
          <cell r="L59" t="str">
            <v>010-7134-3058</v>
          </cell>
          <cell r="M59" t="str">
            <v>농협6년근고려홍삼액면역플러스</v>
          </cell>
          <cell r="N59" t="str">
            <v>50ml*30포</v>
          </cell>
          <cell r="O59">
            <v>19000</v>
          </cell>
          <cell r="P59">
            <v>10</v>
          </cell>
          <cell r="Q59">
            <v>190000</v>
          </cell>
        </row>
        <row r="60">
          <cell r="A60">
            <v>0</v>
          </cell>
          <cell r="B60" t="str">
            <v>영농조합법인 천삼농원</v>
          </cell>
          <cell r="C60">
            <v>46058</v>
          </cell>
          <cell r="D60">
            <v>7832</v>
          </cell>
          <cell r="E60">
            <v>5</v>
          </cell>
          <cell r="F60">
            <v>1</v>
          </cell>
          <cell r="H60" t="str">
            <v>890-87-02343</v>
          </cell>
          <cell r="I60" t="str">
            <v>충북 음성군 금왕읍 평택제천고속도로 70 로컬행복장터(하행선)</v>
          </cell>
          <cell r="J60" t="str">
            <v>조용빈</v>
          </cell>
          <cell r="K60" t="str">
            <v>구경숙</v>
          </cell>
          <cell r="L60" t="str">
            <v>010-7134-3058</v>
          </cell>
          <cell r="M60" t="str">
            <v>6년근홍삼흑염소진액골드</v>
          </cell>
          <cell r="N60" t="str">
            <v>60ml*30포</v>
          </cell>
          <cell r="O60">
            <v>20000</v>
          </cell>
          <cell r="P60">
            <v>5</v>
          </cell>
          <cell r="Q60">
            <v>100000</v>
          </cell>
        </row>
        <row r="61">
          <cell r="A61">
            <v>0</v>
          </cell>
          <cell r="B61" t="str">
            <v>영농조합법인 천삼농원</v>
          </cell>
          <cell r="C61">
            <v>46058</v>
          </cell>
          <cell r="D61">
            <v>7443</v>
          </cell>
          <cell r="E61">
            <v>5</v>
          </cell>
          <cell r="F61">
            <v>1</v>
          </cell>
          <cell r="H61" t="str">
            <v>890-87-02343</v>
          </cell>
          <cell r="I61" t="str">
            <v>충북 음성군 금왕읍 평택제천고속도로 70 로컬행복장터(하행선)</v>
          </cell>
          <cell r="J61" t="str">
            <v>조용빈</v>
          </cell>
          <cell r="K61" t="str">
            <v>구경숙</v>
          </cell>
          <cell r="L61" t="str">
            <v>010-7134-3058</v>
          </cell>
          <cell r="M61" t="str">
            <v>명품녹용홍삼진액</v>
          </cell>
          <cell r="N61" t="str">
            <v>60ml*30포</v>
          </cell>
          <cell r="O61">
            <v>18000</v>
          </cell>
          <cell r="P61">
            <v>5</v>
          </cell>
          <cell r="Q61">
            <v>90000</v>
          </cell>
        </row>
        <row r="62">
          <cell r="A62">
            <v>0</v>
          </cell>
          <cell r="B62" t="str">
            <v>영농조합법인 천삼농원</v>
          </cell>
          <cell r="C62">
            <v>46058</v>
          </cell>
          <cell r="D62">
            <v>3421</v>
          </cell>
          <cell r="E62">
            <v>10</v>
          </cell>
          <cell r="F62">
            <v>1</v>
          </cell>
          <cell r="H62" t="str">
            <v>890-87-02343</v>
          </cell>
          <cell r="I62" t="str">
            <v>충북 음성군 금왕읍 평택제천고속도로 70 로컬행복장터(하행선)</v>
          </cell>
          <cell r="J62" t="str">
            <v>조용빈</v>
          </cell>
          <cell r="K62" t="str">
            <v>구경숙</v>
          </cell>
          <cell r="L62" t="str">
            <v>010-7134-3058</v>
          </cell>
          <cell r="M62" t="str">
            <v>봉밀절편홍삼 (8p)</v>
          </cell>
          <cell r="N62" t="str">
            <v>20g*8p</v>
          </cell>
          <cell r="O62">
            <v>22000</v>
          </cell>
          <cell r="P62">
            <v>10</v>
          </cell>
          <cell r="Q62">
            <v>220000</v>
          </cell>
        </row>
        <row r="63">
          <cell r="A63">
            <v>0</v>
          </cell>
          <cell r="B63" t="str">
            <v>영농조합법인 천삼농원</v>
          </cell>
          <cell r="C63">
            <v>46058</v>
          </cell>
          <cell r="D63">
            <v>5982</v>
          </cell>
          <cell r="E63">
            <v>100</v>
          </cell>
          <cell r="F63">
            <v>2</v>
          </cell>
          <cell r="H63" t="str">
            <v>890-87-02343</v>
          </cell>
          <cell r="I63" t="str">
            <v>충북 음성군 금왕읍 평택제천고속도로 70 로컬행복장터(하행선)</v>
          </cell>
          <cell r="J63" t="str">
            <v>조용빈</v>
          </cell>
          <cell r="K63" t="str">
            <v>구경숙</v>
          </cell>
          <cell r="L63" t="str">
            <v>010-7134-3058</v>
          </cell>
          <cell r="M63" t="str">
            <v>천년홍삼보</v>
          </cell>
          <cell r="N63" t="str">
            <v>100ml</v>
          </cell>
          <cell r="O63">
            <v>1300</v>
          </cell>
          <cell r="P63">
            <v>100</v>
          </cell>
          <cell r="Q63">
            <v>130000</v>
          </cell>
        </row>
        <row r="64">
          <cell r="A64">
            <v>0</v>
          </cell>
          <cell r="B64" t="str">
            <v>홍애삼</v>
          </cell>
          <cell r="C64">
            <v>46057</v>
          </cell>
          <cell r="D64">
            <v>4190</v>
          </cell>
          <cell r="E64">
            <v>1</v>
          </cell>
          <cell r="H64" t="str">
            <v>301-27-65510</v>
          </cell>
          <cell r="I64" t="str">
            <v>충청북도 증평군 증평읍 중부로 2451</v>
          </cell>
          <cell r="J64" t="str">
            <v>성하경</v>
          </cell>
          <cell r="K64" t="str">
            <v>성하경</v>
          </cell>
          <cell r="L64" t="str">
            <v>010-9624-4779</v>
          </cell>
          <cell r="M64" t="str">
            <v>6년양삼15지 (600g)</v>
          </cell>
          <cell r="N64" t="str">
            <v>600g</v>
          </cell>
          <cell r="O64">
            <v>350000</v>
          </cell>
          <cell r="P64">
            <v>1</v>
          </cell>
          <cell r="Q64">
            <v>350000</v>
          </cell>
        </row>
        <row r="65">
          <cell r="A65">
            <v>0</v>
          </cell>
          <cell r="B65" t="str">
            <v>마뜬</v>
          </cell>
          <cell r="C65">
            <v>46062</v>
          </cell>
          <cell r="D65">
            <v>3421</v>
          </cell>
          <cell r="E65">
            <v>3</v>
          </cell>
          <cell r="H65" t="str">
            <v>301-32-5849</v>
          </cell>
          <cell r="I65" t="str">
            <v>충청북도 증평군 증평읍 중부로 2451</v>
          </cell>
          <cell r="J65" t="str">
            <v>반일병</v>
          </cell>
          <cell r="K65" t="str">
            <v>송영란</v>
          </cell>
          <cell r="L65" t="str">
            <v>010-4128-3052</v>
          </cell>
          <cell r="M65" t="str">
            <v>봉밀절편홍삼 (8p)</v>
          </cell>
          <cell r="N65" t="str">
            <v>20g*8p</v>
          </cell>
          <cell r="O65">
            <v>22000</v>
          </cell>
          <cell r="P65">
            <v>3</v>
          </cell>
          <cell r="Q65">
            <v>66000</v>
          </cell>
        </row>
        <row r="66">
          <cell r="A66">
            <v>0</v>
          </cell>
          <cell r="B66" t="str">
            <v>산들인</v>
          </cell>
          <cell r="C66">
            <v>46065</v>
          </cell>
          <cell r="D66">
            <v>871</v>
          </cell>
          <cell r="E66">
            <v>15</v>
          </cell>
          <cell r="F66">
            <v>3</v>
          </cell>
          <cell r="H66" t="str">
            <v>605-29-34679</v>
          </cell>
          <cell r="I66" t="str">
            <v>충청북도 증평군 증평읍 중앙로 8길 12</v>
          </cell>
          <cell r="J66" t="str">
            <v>신상만</v>
          </cell>
          <cell r="K66" t="str">
            <v>신상만</v>
          </cell>
          <cell r="L66" t="str">
            <v>010-3860-5192</v>
          </cell>
          <cell r="M66" t="str">
            <v>고려홍삼보(30포)</v>
          </cell>
          <cell r="N66" t="str">
            <v>70ml*30포</v>
          </cell>
          <cell r="O66">
            <v>27000</v>
          </cell>
          <cell r="P66">
            <v>15</v>
          </cell>
          <cell r="Q66">
            <v>405000</v>
          </cell>
        </row>
        <row r="67">
          <cell r="A67">
            <v>0</v>
          </cell>
          <cell r="B67" t="str">
            <v>산들인</v>
          </cell>
          <cell r="C67">
            <v>46065</v>
          </cell>
          <cell r="D67">
            <v>7757</v>
          </cell>
          <cell r="E67">
            <v>10</v>
          </cell>
          <cell r="F67">
            <v>2</v>
          </cell>
          <cell r="H67" t="str">
            <v>605-29-34679</v>
          </cell>
          <cell r="I67" t="str">
            <v>충청북도 증평군 증평읍 중앙로 8길 12</v>
          </cell>
          <cell r="J67" t="str">
            <v>신상만</v>
          </cell>
          <cell r="K67" t="str">
            <v>신상만</v>
          </cell>
          <cell r="L67" t="str">
            <v>010-3860-5192</v>
          </cell>
          <cell r="M67" t="str">
            <v>프리미엄활력홍삼진액골드</v>
          </cell>
          <cell r="N67" t="str">
            <v>60ml*30포</v>
          </cell>
          <cell r="O67">
            <v>18000</v>
          </cell>
          <cell r="P67">
            <v>10</v>
          </cell>
          <cell r="Q67">
            <v>180000</v>
          </cell>
        </row>
        <row r="68">
          <cell r="A68">
            <v>0</v>
          </cell>
          <cell r="B68" t="str">
            <v>산들인</v>
          </cell>
          <cell r="C68">
            <v>46065</v>
          </cell>
          <cell r="D68">
            <v>5012</v>
          </cell>
          <cell r="E68">
            <v>3</v>
          </cell>
          <cell r="H68" t="str">
            <v>605-29-34679</v>
          </cell>
          <cell r="I68" t="str">
            <v>충청북도 증평군 증평읍 중앙로 8길 12</v>
          </cell>
          <cell r="J68" t="str">
            <v>신상만</v>
          </cell>
          <cell r="K68" t="str">
            <v>신상만</v>
          </cell>
          <cell r="L68" t="str">
            <v>010-3860-5192</v>
          </cell>
          <cell r="M68" t="str">
            <v>황제침향원 (30환)</v>
          </cell>
          <cell r="N68" t="str">
            <v>30환</v>
          </cell>
          <cell r="O68">
            <v>30000</v>
          </cell>
          <cell r="P68">
            <v>3</v>
          </cell>
          <cell r="Q68">
            <v>90000</v>
          </cell>
        </row>
        <row r="69">
          <cell r="A69">
            <v>0</v>
          </cell>
          <cell r="B69" t="str">
            <v>증평농수축유통(글로벌진생)</v>
          </cell>
          <cell r="C69">
            <v>46065</v>
          </cell>
          <cell r="D69">
            <v>7443</v>
          </cell>
          <cell r="E69">
            <v>110</v>
          </cell>
          <cell r="F69">
            <v>22</v>
          </cell>
          <cell r="H69" t="str">
            <v>301-85-45509</v>
          </cell>
          <cell r="I69" t="str">
            <v>충청북도 증평군 증평읍 중부로 2451</v>
          </cell>
          <cell r="J69" t="str">
            <v>임재욱</v>
          </cell>
          <cell r="K69" t="str">
            <v>정남성</v>
          </cell>
          <cell r="L69" t="str">
            <v>010-4535-1823</v>
          </cell>
          <cell r="M69" t="str">
            <v>명품녹용홍삼진액</v>
          </cell>
          <cell r="N69" t="str">
            <v>60ml*30포</v>
          </cell>
          <cell r="O69">
            <v>18000</v>
          </cell>
          <cell r="P69">
            <v>110</v>
          </cell>
          <cell r="Q69">
            <v>1980000</v>
          </cell>
        </row>
        <row r="70">
          <cell r="A70">
            <v>0</v>
          </cell>
          <cell r="B70" t="str">
            <v>증평농수축유통(글로벌진생)</v>
          </cell>
          <cell r="C70">
            <v>46065</v>
          </cell>
          <cell r="D70">
            <v>628</v>
          </cell>
          <cell r="E70">
            <v>12</v>
          </cell>
          <cell r="F70">
            <v>1</v>
          </cell>
          <cell r="H70" t="str">
            <v>301-85-45509</v>
          </cell>
          <cell r="I70" t="str">
            <v>충청북도 증평군 증평읍 중부로 2451</v>
          </cell>
          <cell r="J70" t="str">
            <v>임재욱</v>
          </cell>
          <cell r="K70" t="str">
            <v>정남성</v>
          </cell>
          <cell r="L70" t="str">
            <v>010-4535-1823</v>
          </cell>
          <cell r="M70" t="str">
            <v>홍삼정골드(프리미엄)</v>
          </cell>
          <cell r="N70" t="str">
            <v>240g</v>
          </cell>
          <cell r="O70">
            <v>90000</v>
          </cell>
          <cell r="P70">
            <v>12</v>
          </cell>
          <cell r="Q70">
            <v>1080000</v>
          </cell>
        </row>
        <row r="71">
          <cell r="A71">
            <v>0</v>
          </cell>
          <cell r="B71" t="str">
            <v>증평농수축유통(글로벌진생)</v>
          </cell>
          <cell r="C71">
            <v>46065</v>
          </cell>
          <cell r="D71">
            <v>3285</v>
          </cell>
          <cell r="E71">
            <v>3</v>
          </cell>
          <cell r="F71">
            <v>1</v>
          </cell>
          <cell r="H71" t="str">
            <v>301-85-45509</v>
          </cell>
          <cell r="I71" t="str">
            <v>충청북도 증평군 증평읍 중부로 2451</v>
          </cell>
          <cell r="J71" t="str">
            <v>임재욱</v>
          </cell>
          <cell r="K71" t="str">
            <v>정남성</v>
          </cell>
          <cell r="L71" t="str">
            <v>010-4535-1823</v>
          </cell>
          <cell r="M71" t="str">
            <v>고려홍삼진한액골드</v>
          </cell>
          <cell r="N71" t="str">
            <v>80ml*60포</v>
          </cell>
          <cell r="O71">
            <v>90000</v>
          </cell>
          <cell r="P71">
            <v>3</v>
          </cell>
          <cell r="Q71">
            <v>270000</v>
          </cell>
        </row>
        <row r="72">
          <cell r="A72">
            <v>0</v>
          </cell>
          <cell r="B72" t="str">
            <v>가을크레인</v>
          </cell>
          <cell r="C72">
            <v>46064</v>
          </cell>
          <cell r="D72">
            <v>7443</v>
          </cell>
          <cell r="E72">
            <v>10</v>
          </cell>
          <cell r="F72">
            <v>2</v>
          </cell>
          <cell r="H72" t="str">
            <v>303-10-81823</v>
          </cell>
          <cell r="I72" t="str">
            <v>충청북도 충주시 예성로 401  402동 101호</v>
          </cell>
          <cell r="J72" t="str">
            <v>손춘만</v>
          </cell>
          <cell r="K72" t="str">
            <v>손춘만</v>
          </cell>
          <cell r="L72" t="str">
            <v>010-6210-1291</v>
          </cell>
          <cell r="M72" t="str">
            <v>명품녹용홍삼진액</v>
          </cell>
          <cell r="N72" t="str">
            <v>60ml*30포</v>
          </cell>
          <cell r="O72">
            <v>30000</v>
          </cell>
          <cell r="P72">
            <v>10</v>
          </cell>
          <cell r="Q72">
            <v>300000</v>
          </cell>
        </row>
        <row r="73">
          <cell r="A73">
            <v>0</v>
          </cell>
          <cell r="B73" t="str">
            <v>홍애삼</v>
          </cell>
          <cell r="C73">
            <v>46072</v>
          </cell>
          <cell r="D73">
            <v>3285</v>
          </cell>
          <cell r="E73">
            <v>3</v>
          </cell>
          <cell r="F73">
            <v>1</v>
          </cell>
          <cell r="H73" t="str">
            <v>301-27-65510</v>
          </cell>
          <cell r="I73" t="str">
            <v>충청북도 증평군 증평읍 중부로 2451</v>
          </cell>
          <cell r="J73" t="str">
            <v>성하경</v>
          </cell>
          <cell r="K73" t="str">
            <v>성하경</v>
          </cell>
          <cell r="L73" t="str">
            <v>010-9624-4779</v>
          </cell>
          <cell r="M73" t="str">
            <v>고려홍삼진한액골드</v>
          </cell>
          <cell r="N73" t="str">
            <v>80ml*60포</v>
          </cell>
          <cell r="O73">
            <v>90000</v>
          </cell>
          <cell r="P73">
            <v>3</v>
          </cell>
          <cell r="Q73">
            <v>270000</v>
          </cell>
        </row>
        <row r="74">
          <cell r="A74">
            <v>0</v>
          </cell>
          <cell r="B74" t="str">
            <v>홍애삼</v>
          </cell>
          <cell r="C74">
            <v>46072</v>
          </cell>
          <cell r="D74">
            <v>1090</v>
          </cell>
          <cell r="E74">
            <v>3</v>
          </cell>
          <cell r="F74">
            <v>1</v>
          </cell>
          <cell r="H74" t="str">
            <v>301-27-65510</v>
          </cell>
          <cell r="I74" t="str">
            <v>충청북도 증평군 증평읍 중부로 2451</v>
          </cell>
          <cell r="J74" t="str">
            <v>성하경</v>
          </cell>
          <cell r="K74" t="str">
            <v>성하경</v>
          </cell>
          <cell r="L74" t="str">
            <v>010-9624-4779</v>
          </cell>
          <cell r="M74" t="str">
            <v>홍삼100 (60포)</v>
          </cell>
          <cell r="N74" t="str">
            <v>70ml*60포</v>
          </cell>
          <cell r="O74">
            <v>54000</v>
          </cell>
          <cell r="P74">
            <v>3</v>
          </cell>
          <cell r="Q74">
            <v>162000</v>
          </cell>
        </row>
        <row r="75">
          <cell r="A75">
            <v>0</v>
          </cell>
          <cell r="B75" t="str">
            <v>홍애삼</v>
          </cell>
          <cell r="C75">
            <v>46072</v>
          </cell>
          <cell r="D75">
            <v>3179</v>
          </cell>
          <cell r="E75">
            <v>5</v>
          </cell>
          <cell r="F75">
            <v>1</v>
          </cell>
          <cell r="H75" t="str">
            <v>301-27-65510</v>
          </cell>
          <cell r="I75" t="str">
            <v>충청북도 증평군 증평읍 중부로 2451</v>
          </cell>
          <cell r="J75" t="str">
            <v>성하경</v>
          </cell>
          <cell r="K75" t="str">
            <v>성하경</v>
          </cell>
          <cell r="L75" t="str">
            <v>010-9624-4779</v>
          </cell>
          <cell r="M75" t="str">
            <v>홍삼정골드 데일리</v>
          </cell>
          <cell r="N75" t="str">
            <v>10ml*30포</v>
          </cell>
          <cell r="O75">
            <v>47000</v>
          </cell>
          <cell r="P75">
            <v>5</v>
          </cell>
          <cell r="Q75">
            <v>235000</v>
          </cell>
        </row>
        <row r="76">
          <cell r="A76">
            <v>0</v>
          </cell>
          <cell r="B76" t="str">
            <v>홍애삼</v>
          </cell>
          <cell r="C76">
            <v>46072</v>
          </cell>
          <cell r="D76">
            <v>5029</v>
          </cell>
          <cell r="E76">
            <v>5</v>
          </cell>
          <cell r="F76">
            <v>1</v>
          </cell>
          <cell r="H76" t="str">
            <v>301-27-65510</v>
          </cell>
          <cell r="I76" t="str">
            <v>충청북도 증평군 증평읍 중부로 2451</v>
          </cell>
          <cell r="J76" t="str">
            <v>성하경</v>
          </cell>
          <cell r="K76" t="str">
            <v>성하경</v>
          </cell>
          <cell r="L76" t="str">
            <v>010-9624-4779</v>
          </cell>
          <cell r="M76" t="str">
            <v>황제침향원 (60환)</v>
          </cell>
          <cell r="N76" t="str">
            <v>60환</v>
          </cell>
          <cell r="O76">
            <v>55000</v>
          </cell>
          <cell r="P76">
            <v>5</v>
          </cell>
          <cell r="Q76">
            <v>275000</v>
          </cell>
        </row>
        <row r="77">
          <cell r="A77">
            <v>0</v>
          </cell>
          <cell r="B77" t="str">
            <v>홍애삼</v>
          </cell>
          <cell r="C77">
            <v>46072</v>
          </cell>
          <cell r="D77">
            <v>628</v>
          </cell>
          <cell r="E77">
            <v>5</v>
          </cell>
          <cell r="F77">
            <v>1</v>
          </cell>
          <cell r="H77" t="str">
            <v>301-27-65510</v>
          </cell>
          <cell r="I77" t="str">
            <v>충청북도 증평군 증평읍 중부로 2451</v>
          </cell>
          <cell r="J77" t="str">
            <v>성하경</v>
          </cell>
          <cell r="K77" t="str">
            <v>성하경</v>
          </cell>
          <cell r="L77" t="str">
            <v>010-9624-4779</v>
          </cell>
          <cell r="M77" t="str">
            <v>홍삼정골드(프리미엄)</v>
          </cell>
          <cell r="N77" t="str">
            <v>240g</v>
          </cell>
          <cell r="O77">
            <v>90000</v>
          </cell>
          <cell r="P77">
            <v>5</v>
          </cell>
          <cell r="Q77">
            <v>450000</v>
          </cell>
        </row>
        <row r="78">
          <cell r="A78">
            <v>0</v>
          </cell>
          <cell r="B78" t="str">
            <v>태원홍삼</v>
          </cell>
          <cell r="C78">
            <v>46072</v>
          </cell>
          <cell r="D78">
            <v>3179</v>
          </cell>
          <cell r="E78">
            <v>5</v>
          </cell>
          <cell r="F78">
            <v>1</v>
          </cell>
          <cell r="H78" t="str">
            <v>301-32-57649</v>
          </cell>
          <cell r="I78" t="str">
            <v>충청북도 증평군 증평읍 중부로 2451</v>
          </cell>
          <cell r="J78" t="str">
            <v>장병황</v>
          </cell>
          <cell r="K78" t="str">
            <v>배종여</v>
          </cell>
          <cell r="L78" t="str">
            <v>010-9406-1772</v>
          </cell>
          <cell r="M78" t="str">
            <v>홍삼정골드 데일리</v>
          </cell>
          <cell r="N78" t="str">
            <v>10ml*30포</v>
          </cell>
          <cell r="O78">
            <v>47000</v>
          </cell>
          <cell r="P78">
            <v>5</v>
          </cell>
          <cell r="Q78">
            <v>235000</v>
          </cell>
        </row>
        <row r="79">
          <cell r="A79">
            <v>0</v>
          </cell>
          <cell r="B79" t="str">
            <v>태원홍삼</v>
          </cell>
          <cell r="C79">
            <v>46072</v>
          </cell>
          <cell r="D79">
            <v>3285</v>
          </cell>
          <cell r="E79">
            <v>6</v>
          </cell>
          <cell r="F79">
            <v>2</v>
          </cell>
          <cell r="H79" t="str">
            <v>301-32-57649</v>
          </cell>
          <cell r="I79" t="str">
            <v>충청북도 증평군 증평읍 중부로 2451</v>
          </cell>
          <cell r="J79" t="str">
            <v>장병황</v>
          </cell>
          <cell r="K79" t="str">
            <v>배종여</v>
          </cell>
          <cell r="L79" t="str">
            <v>010-9406-1772</v>
          </cell>
          <cell r="M79" t="str">
            <v>고려홍삼진한액골드</v>
          </cell>
          <cell r="N79" t="str">
            <v>80ml*60포</v>
          </cell>
          <cell r="O79">
            <v>90000</v>
          </cell>
          <cell r="P79">
            <v>6</v>
          </cell>
          <cell r="Q79">
            <v>540000</v>
          </cell>
        </row>
        <row r="80">
          <cell r="A80">
            <v>0</v>
          </cell>
          <cell r="B80" t="str">
            <v>태원홍삼</v>
          </cell>
          <cell r="C80">
            <v>46072</v>
          </cell>
          <cell r="D80">
            <v>5029</v>
          </cell>
          <cell r="E80">
            <v>5</v>
          </cell>
          <cell r="F80">
            <v>1</v>
          </cell>
          <cell r="H80" t="str">
            <v>301-32-57649</v>
          </cell>
          <cell r="I80" t="str">
            <v>충청북도 증평군 증평읍 중부로 2451</v>
          </cell>
          <cell r="J80" t="str">
            <v>장병황</v>
          </cell>
          <cell r="K80" t="str">
            <v>배종여</v>
          </cell>
          <cell r="L80" t="str">
            <v>010-9406-1772</v>
          </cell>
          <cell r="M80" t="str">
            <v>황제침향원 (60환)</v>
          </cell>
          <cell r="N80" t="str">
            <v>60환</v>
          </cell>
          <cell r="O80">
            <v>55000</v>
          </cell>
          <cell r="P80">
            <v>5</v>
          </cell>
          <cell r="Q80">
            <v>275000</v>
          </cell>
        </row>
        <row r="81">
          <cell r="A81">
            <v>0</v>
          </cell>
          <cell r="B81" t="str">
            <v>증평농수축유통(글로벌진생)</v>
          </cell>
          <cell r="C81">
            <v>46072</v>
          </cell>
          <cell r="D81">
            <v>3186</v>
          </cell>
          <cell r="E81">
            <v>5</v>
          </cell>
          <cell r="F81">
            <v>1</v>
          </cell>
          <cell r="H81" t="str">
            <v>301-85-45509</v>
          </cell>
          <cell r="I81" t="str">
            <v>충청북도 증평군 증평읍 중부로 2451</v>
          </cell>
          <cell r="J81" t="str">
            <v>임재욱</v>
          </cell>
          <cell r="K81" t="str">
            <v>정남성</v>
          </cell>
          <cell r="L81" t="str">
            <v>010-4535-1823</v>
          </cell>
          <cell r="M81" t="str">
            <v>홍삼100 (30포)</v>
          </cell>
          <cell r="N81" t="str">
            <v>70ml*30포</v>
          </cell>
          <cell r="O81">
            <v>30000</v>
          </cell>
          <cell r="P81">
            <v>5</v>
          </cell>
          <cell r="Q81">
            <v>150000</v>
          </cell>
        </row>
        <row r="82">
          <cell r="A82">
            <v>0</v>
          </cell>
          <cell r="B82" t="str">
            <v>증평농수축유통(글로벌진생)</v>
          </cell>
          <cell r="C82">
            <v>46072</v>
          </cell>
          <cell r="D82">
            <v>2639</v>
          </cell>
          <cell r="E82">
            <v>1</v>
          </cell>
          <cell r="H82" t="str">
            <v>301-85-45509</v>
          </cell>
          <cell r="I82" t="str">
            <v>충청북도 증평군 증평읍 중부로 2451</v>
          </cell>
          <cell r="J82" t="str">
            <v>임재욱</v>
          </cell>
          <cell r="K82" t="str">
            <v>정남성</v>
          </cell>
          <cell r="L82" t="str">
            <v>010-4535-1823</v>
          </cell>
          <cell r="M82" t="str">
            <v>홍미삼(3등급) (300g)</v>
          </cell>
          <cell r="N82" t="str">
            <v>300g</v>
          </cell>
          <cell r="O82">
            <v>51000</v>
          </cell>
          <cell r="P82">
            <v>1</v>
          </cell>
          <cell r="Q82">
            <v>51000</v>
          </cell>
        </row>
        <row r="83">
          <cell r="A83">
            <v>0</v>
          </cell>
          <cell r="B83" t="str">
            <v>증평농수축유통(글로벌진생)</v>
          </cell>
          <cell r="C83">
            <v>46072</v>
          </cell>
          <cell r="D83">
            <v>4213</v>
          </cell>
          <cell r="E83">
            <v>1</v>
          </cell>
          <cell r="H83" t="str">
            <v>301-85-45509</v>
          </cell>
          <cell r="I83" t="str">
            <v>충청북도 증평군 증평읍 중부로 2451</v>
          </cell>
          <cell r="J83" t="str">
            <v>임재욱</v>
          </cell>
          <cell r="K83" t="str">
            <v>정남성</v>
          </cell>
          <cell r="L83" t="str">
            <v>010-4535-1823</v>
          </cell>
          <cell r="M83" t="str">
            <v>6년양삼30지 (600g)</v>
          </cell>
          <cell r="N83" t="str">
            <v>600g</v>
          </cell>
          <cell r="O83">
            <v>228000</v>
          </cell>
          <cell r="P83">
            <v>1</v>
          </cell>
          <cell r="Q83">
            <v>228000</v>
          </cell>
        </row>
        <row r="84">
          <cell r="A84">
            <v>0</v>
          </cell>
          <cell r="B84" t="str">
            <v>마뜬</v>
          </cell>
          <cell r="C84">
            <v>46072</v>
          </cell>
          <cell r="D84">
            <v>628</v>
          </cell>
          <cell r="E84">
            <v>10</v>
          </cell>
          <cell r="F84">
            <v>1</v>
          </cell>
          <cell r="H84" t="str">
            <v>301-32-5849</v>
          </cell>
          <cell r="I84" t="str">
            <v>충청북도 증평군 증평읍 중부로 2451</v>
          </cell>
          <cell r="J84" t="str">
            <v>반일병</v>
          </cell>
          <cell r="K84" t="str">
            <v>송영란</v>
          </cell>
          <cell r="L84" t="str">
            <v>010-4128-3052</v>
          </cell>
          <cell r="M84" t="str">
            <v>홍삼정골드(프리미엄)</v>
          </cell>
          <cell r="N84" t="str">
            <v>240g</v>
          </cell>
          <cell r="O84">
            <v>90000</v>
          </cell>
          <cell r="P84">
            <v>10</v>
          </cell>
          <cell r="Q84">
            <v>900000</v>
          </cell>
        </row>
        <row r="85">
          <cell r="A85">
            <v>0</v>
          </cell>
          <cell r="B85" t="str">
            <v>건강백세</v>
          </cell>
          <cell r="C85">
            <v>46072</v>
          </cell>
          <cell r="D85">
            <v>2639</v>
          </cell>
          <cell r="E85">
            <v>4</v>
          </cell>
          <cell r="H85" t="str">
            <v>301-32-89404</v>
          </cell>
          <cell r="I85" t="str">
            <v>충청북도 증평군 증평읍 중부로 2451</v>
          </cell>
          <cell r="J85" t="str">
            <v>조금주</v>
          </cell>
          <cell r="K85" t="str">
            <v>조금주</v>
          </cell>
          <cell r="L85" t="str">
            <v>010-3024-4857</v>
          </cell>
          <cell r="M85" t="str">
            <v>홍미삼(3등급) (300g)</v>
          </cell>
          <cell r="N85" t="str">
            <v>300g</v>
          </cell>
          <cell r="O85">
            <v>51000</v>
          </cell>
          <cell r="P85">
            <v>4</v>
          </cell>
          <cell r="Q85">
            <v>204000</v>
          </cell>
        </row>
        <row r="86">
          <cell r="A86">
            <v>0</v>
          </cell>
          <cell r="B86" t="str">
            <v>건강백세</v>
          </cell>
          <cell r="C86">
            <v>46072</v>
          </cell>
          <cell r="D86">
            <v>4213</v>
          </cell>
          <cell r="E86">
            <v>4</v>
          </cell>
          <cell r="H86" t="str">
            <v>301-32-89404</v>
          </cell>
          <cell r="I86" t="str">
            <v>충청북도 증평군 증평읍 중부로 2451</v>
          </cell>
          <cell r="J86" t="str">
            <v>조금주</v>
          </cell>
          <cell r="K86" t="str">
            <v>조금주</v>
          </cell>
          <cell r="L86" t="str">
            <v>010-3024-4857</v>
          </cell>
          <cell r="M86" t="str">
            <v>6년양삼30지 (600g)</v>
          </cell>
          <cell r="N86" t="str">
            <v>600g</v>
          </cell>
          <cell r="O86">
            <v>228000</v>
          </cell>
          <cell r="P86">
            <v>4</v>
          </cell>
          <cell r="Q86">
            <v>912000</v>
          </cell>
        </row>
        <row r="87">
          <cell r="A87">
            <v>0</v>
          </cell>
          <cell r="B87" t="str">
            <v>영농조합법인 천삼농원</v>
          </cell>
          <cell r="C87">
            <v>46073</v>
          </cell>
          <cell r="D87">
            <v>3186</v>
          </cell>
          <cell r="E87">
            <v>10</v>
          </cell>
          <cell r="F87">
            <v>2</v>
          </cell>
          <cell r="H87" t="str">
            <v>890-87-02343</v>
          </cell>
          <cell r="I87" t="str">
            <v>충북 음성군 금왕읍 평택제천고속도로 70 로컬행복장터(하행선)</v>
          </cell>
          <cell r="J87" t="str">
            <v>조용빈</v>
          </cell>
          <cell r="K87" t="str">
            <v>구경숙</v>
          </cell>
          <cell r="L87" t="str">
            <v>010-7134-3058</v>
          </cell>
          <cell r="M87" t="str">
            <v>홍삼100 (30포)</v>
          </cell>
          <cell r="N87" t="str">
            <v>70ml*30포</v>
          </cell>
          <cell r="O87">
            <v>30000</v>
          </cell>
          <cell r="P87">
            <v>10</v>
          </cell>
          <cell r="Q87">
            <v>300000</v>
          </cell>
        </row>
        <row r="88">
          <cell r="A88">
            <v>0</v>
          </cell>
          <cell r="B88" t="str">
            <v>영농조합법인 천삼농원</v>
          </cell>
          <cell r="C88">
            <v>46073</v>
          </cell>
          <cell r="D88">
            <v>5012</v>
          </cell>
          <cell r="E88">
            <v>10</v>
          </cell>
          <cell r="F88">
            <v>1</v>
          </cell>
          <cell r="H88" t="str">
            <v>890-87-02343</v>
          </cell>
          <cell r="I88" t="str">
            <v>충북 음성군 금왕읍 평택제천고속도로 70 로컬행복장터(하행선)</v>
          </cell>
          <cell r="J88" t="str">
            <v>조용빈</v>
          </cell>
          <cell r="K88" t="str">
            <v>구경숙</v>
          </cell>
          <cell r="L88" t="str">
            <v>010-7134-3058</v>
          </cell>
          <cell r="M88" t="str">
            <v>황제침향원 (30환)</v>
          </cell>
          <cell r="N88" t="str">
            <v>30환</v>
          </cell>
          <cell r="O88">
            <v>30000</v>
          </cell>
          <cell r="P88">
            <v>10</v>
          </cell>
          <cell r="Q88">
            <v>300000</v>
          </cell>
        </row>
        <row r="89">
          <cell r="A89">
            <v>0</v>
          </cell>
          <cell r="B89" t="str">
            <v>영농조합법인 천삼농원</v>
          </cell>
          <cell r="C89">
            <v>46073</v>
          </cell>
          <cell r="D89">
            <v>3254</v>
          </cell>
          <cell r="E89">
            <v>10</v>
          </cell>
          <cell r="F89">
            <v>1</v>
          </cell>
          <cell r="H89" t="str">
            <v>890-87-02343</v>
          </cell>
          <cell r="I89" t="str">
            <v>충북 음성군 금왕읍 평택제천고속도로 70 로컬행복장터(하행선)</v>
          </cell>
          <cell r="J89" t="str">
            <v>조용빈</v>
          </cell>
          <cell r="K89" t="str">
            <v>구경숙</v>
          </cell>
          <cell r="L89" t="str">
            <v>010-7134-3058</v>
          </cell>
          <cell r="M89" t="str">
            <v>6년근 홍삼정캔디(800g)</v>
          </cell>
          <cell r="N89" t="str">
            <v>800g</v>
          </cell>
          <cell r="O89">
            <v>5500</v>
          </cell>
          <cell r="P89">
            <v>10</v>
          </cell>
          <cell r="Q89">
            <v>55000</v>
          </cell>
        </row>
        <row r="90">
          <cell r="A90">
            <v>0</v>
          </cell>
          <cell r="B90" t="str">
            <v>태원홍삼</v>
          </cell>
          <cell r="C90">
            <v>46073</v>
          </cell>
          <cell r="D90">
            <v>1090</v>
          </cell>
          <cell r="E90">
            <v>3</v>
          </cell>
          <cell r="F90">
            <v>1</v>
          </cell>
          <cell r="H90" t="str">
            <v>301-32-57649</v>
          </cell>
          <cell r="I90" t="str">
            <v>충청북도 증평군 증평읍 중부로 2451</v>
          </cell>
          <cell r="J90" t="str">
            <v>장병황</v>
          </cell>
          <cell r="K90" t="str">
            <v>배종여</v>
          </cell>
          <cell r="L90" t="str">
            <v>010-9406-1772</v>
          </cell>
          <cell r="M90" t="str">
            <v>홍삼100 (60포)</v>
          </cell>
          <cell r="N90" t="str">
            <v>70ml*60포</v>
          </cell>
          <cell r="O90">
            <v>54000</v>
          </cell>
          <cell r="P90">
            <v>3</v>
          </cell>
          <cell r="Q90">
            <v>162000</v>
          </cell>
        </row>
        <row r="91">
          <cell r="A91">
            <v>0</v>
          </cell>
          <cell r="B91" t="str">
            <v>명성물산한삼인</v>
          </cell>
          <cell r="C91">
            <v>46073</v>
          </cell>
          <cell r="D91">
            <v>2639</v>
          </cell>
          <cell r="E91">
            <v>6</v>
          </cell>
          <cell r="F91">
            <v>1</v>
          </cell>
          <cell r="H91" t="str">
            <v>609-24-24237</v>
          </cell>
          <cell r="I91" t="str">
            <v>김해시 장유로 149번길 16-7 명성물산</v>
          </cell>
          <cell r="J91" t="str">
            <v>전종배</v>
          </cell>
          <cell r="K91" t="str">
            <v>전종배</v>
          </cell>
          <cell r="L91" t="str">
            <v>010-9227-5988</v>
          </cell>
          <cell r="M91" t="str">
            <v>홍미삼(3등급) (300g)</v>
          </cell>
          <cell r="N91" t="str">
            <v>300g</v>
          </cell>
          <cell r="O91">
            <v>51000</v>
          </cell>
          <cell r="P91">
            <v>6</v>
          </cell>
          <cell r="Q91">
            <v>306000</v>
          </cell>
        </row>
        <row r="92">
          <cell r="A92">
            <v>0</v>
          </cell>
          <cell r="B92" t="str">
            <v>농협홍삼한삼인하양점</v>
          </cell>
          <cell r="C92">
            <v>46077</v>
          </cell>
          <cell r="D92">
            <v>4244</v>
          </cell>
          <cell r="E92">
            <v>5</v>
          </cell>
          <cell r="F92">
            <v>1</v>
          </cell>
          <cell r="H92" t="str">
            <v>515-07-93150</v>
          </cell>
          <cell r="I92" t="str">
            <v>경북 경산시 하양읍 대학로 1526 농협홍삼한삼인 하양점</v>
          </cell>
          <cell r="J92" t="str">
            <v>채수정</v>
          </cell>
          <cell r="K92" t="str">
            <v>채수정</v>
          </cell>
          <cell r="L92" t="str">
            <v>010-6526-3824</v>
          </cell>
          <cell r="M92" t="str">
            <v>6년양삼60지 (600g)</v>
          </cell>
          <cell r="N92" t="str">
            <v>600g</v>
          </cell>
          <cell r="O92">
            <v>172000</v>
          </cell>
          <cell r="P92">
            <v>5</v>
          </cell>
          <cell r="Q92">
            <v>860000</v>
          </cell>
        </row>
        <row r="93">
          <cell r="A93">
            <v>0</v>
          </cell>
          <cell r="B93" t="str">
            <v>옥산농업협동조합</v>
          </cell>
          <cell r="C93">
            <v>46079</v>
          </cell>
          <cell r="D93">
            <v>5029</v>
          </cell>
          <cell r="E93">
            <v>1500</v>
          </cell>
          <cell r="H93" t="str">
            <v>301-82-01102</v>
          </cell>
          <cell r="I93" t="str">
            <v>충북 청주시 흥덕구 옥산면 청주역로 658</v>
          </cell>
          <cell r="J93" t="str">
            <v>곽병갑</v>
          </cell>
          <cell r="K93" t="str">
            <v>남명애</v>
          </cell>
          <cell r="L93" t="str">
            <v>010-4128-7486</v>
          </cell>
          <cell r="M93" t="str">
            <v>황제침향원 (60환)</v>
          </cell>
          <cell r="N93" t="str">
            <v>60환</v>
          </cell>
          <cell r="O93">
            <v>45000</v>
          </cell>
          <cell r="P93">
            <v>1500</v>
          </cell>
          <cell r="Q93">
            <v>67500000</v>
          </cell>
        </row>
        <row r="94">
          <cell r="A94">
            <v>0</v>
          </cell>
          <cell r="B94" t="str">
            <v>큰가람약초</v>
          </cell>
          <cell r="C94">
            <v>46077</v>
          </cell>
          <cell r="D94">
            <v>2639</v>
          </cell>
          <cell r="E94">
            <v>9</v>
          </cell>
          <cell r="H94" t="str">
            <v>301-18-95104</v>
          </cell>
          <cell r="I94" t="str">
            <v>청주시 흥덕구 봉명동 1161</v>
          </cell>
          <cell r="J94" t="str">
            <v>조연우</v>
          </cell>
          <cell r="K94" t="str">
            <v>조연우</v>
          </cell>
          <cell r="L94" t="str">
            <v>010-7195-8728</v>
          </cell>
          <cell r="M94" t="str">
            <v>홍미삼(3등급) (300g)</v>
          </cell>
          <cell r="N94" t="str">
            <v>300g</v>
          </cell>
          <cell r="O94">
            <v>51000</v>
          </cell>
          <cell r="P94">
            <v>9</v>
          </cell>
          <cell r="Q94">
            <v>459000</v>
          </cell>
        </row>
        <row r="95">
          <cell r="A95">
            <v>0</v>
          </cell>
          <cell r="B95" t="str">
            <v>큰가람약초</v>
          </cell>
          <cell r="C95">
            <v>46077</v>
          </cell>
          <cell r="D95">
            <v>4244</v>
          </cell>
          <cell r="E95">
            <v>4</v>
          </cell>
          <cell r="H95" t="str">
            <v>301-18-95104</v>
          </cell>
          <cell r="I95" t="str">
            <v>청주시 흥덕구 봉명동 1161</v>
          </cell>
          <cell r="J95" t="str">
            <v>조연우</v>
          </cell>
          <cell r="K95" t="str">
            <v>조연우</v>
          </cell>
          <cell r="L95" t="str">
            <v>010-7195-8728</v>
          </cell>
          <cell r="M95" t="str">
            <v>6년양삼60지 (600g)</v>
          </cell>
          <cell r="N95" t="str">
            <v>600g</v>
          </cell>
          <cell r="O95">
            <v>172000</v>
          </cell>
          <cell r="P95">
            <v>4</v>
          </cell>
          <cell r="Q95">
            <v>688000</v>
          </cell>
        </row>
        <row r="96">
          <cell r="A96">
            <v>0</v>
          </cell>
          <cell r="B96" t="str">
            <v>영농조합법인 천삼농원</v>
          </cell>
          <cell r="C96">
            <v>46086</v>
          </cell>
          <cell r="D96">
            <v>3308</v>
          </cell>
          <cell r="E96">
            <v>40</v>
          </cell>
          <cell r="F96">
            <v>2</v>
          </cell>
          <cell r="H96" t="str">
            <v>890-87-02343</v>
          </cell>
          <cell r="I96" t="str">
            <v>충북 음성군 금왕읍 평택제천고속도로 70 로컬행복장터(하행선)</v>
          </cell>
          <cell r="J96" t="str">
            <v>조용빈</v>
          </cell>
          <cell r="K96" t="str">
            <v>구경숙</v>
          </cell>
          <cell r="L96" t="str">
            <v>010-7134-3058</v>
          </cell>
          <cell r="M96" t="str">
            <v>삼누리홍삼건빵</v>
          </cell>
          <cell r="N96" t="str">
            <v>400g</v>
          </cell>
          <cell r="O96">
            <v>1900</v>
          </cell>
          <cell r="P96">
            <v>40</v>
          </cell>
          <cell r="Q96">
            <v>76000</v>
          </cell>
        </row>
        <row r="97">
          <cell r="A97">
            <v>0</v>
          </cell>
          <cell r="B97" t="str">
            <v>영농조합법인 천삼농원</v>
          </cell>
          <cell r="C97">
            <v>46086</v>
          </cell>
          <cell r="D97">
            <v>3261</v>
          </cell>
          <cell r="E97">
            <v>30</v>
          </cell>
          <cell r="F97">
            <v>1</v>
          </cell>
          <cell r="H97" t="str">
            <v>890-87-02343</v>
          </cell>
          <cell r="I97" t="str">
            <v>충북 음성군 금왕읍 평택제천고속도로 70 로컬행복장터(하행선)</v>
          </cell>
          <cell r="J97" t="str">
            <v>조용빈</v>
          </cell>
          <cell r="K97" t="str">
            <v>구경숙</v>
          </cell>
          <cell r="L97" t="str">
            <v>010-7134-3058</v>
          </cell>
          <cell r="M97" t="str">
            <v>6년근홍삼정캔디(200g)</v>
          </cell>
          <cell r="N97" t="str">
            <v>200g</v>
          </cell>
          <cell r="O97">
            <v>1800</v>
          </cell>
          <cell r="P97">
            <v>30</v>
          </cell>
          <cell r="Q97">
            <v>54000</v>
          </cell>
        </row>
        <row r="98">
          <cell r="A98">
            <v>0</v>
          </cell>
          <cell r="B98" t="str">
            <v>영농조합법인 천삼농원</v>
          </cell>
          <cell r="C98">
            <v>46086</v>
          </cell>
          <cell r="D98">
            <v>3254</v>
          </cell>
          <cell r="E98">
            <v>10</v>
          </cell>
          <cell r="F98">
            <v>1</v>
          </cell>
          <cell r="H98" t="str">
            <v>890-87-02343</v>
          </cell>
          <cell r="I98" t="str">
            <v>충북 음성군 금왕읍 평택제천고속도로 70 로컬행복장터(하행선)</v>
          </cell>
          <cell r="J98" t="str">
            <v>조용빈</v>
          </cell>
          <cell r="K98" t="str">
            <v>구경숙</v>
          </cell>
          <cell r="L98" t="str">
            <v>010-7134-3058</v>
          </cell>
          <cell r="M98" t="str">
            <v>6년근 홍삼정캔디(800g)</v>
          </cell>
          <cell r="N98" t="str">
            <v>800g</v>
          </cell>
          <cell r="O98">
            <v>5500</v>
          </cell>
          <cell r="P98">
            <v>10</v>
          </cell>
          <cell r="Q98">
            <v>55000</v>
          </cell>
        </row>
        <row r="99">
          <cell r="A99">
            <v>0</v>
          </cell>
          <cell r="B99" t="str">
            <v>영농조합법인 천삼농원</v>
          </cell>
          <cell r="C99">
            <v>46086</v>
          </cell>
          <cell r="D99">
            <v>3476</v>
          </cell>
          <cell r="E99">
            <v>80</v>
          </cell>
          <cell r="F99">
            <v>2</v>
          </cell>
          <cell r="H99" t="str">
            <v>890-87-02343</v>
          </cell>
          <cell r="I99" t="str">
            <v>충북 음성군 금왕읍 평택제천고속도로 70 로컬행복장터(하행선)</v>
          </cell>
          <cell r="J99" t="str">
            <v>조용빈</v>
          </cell>
          <cell r="K99" t="str">
            <v>구경숙</v>
          </cell>
          <cell r="L99" t="str">
            <v>010-7134-3058</v>
          </cell>
          <cell r="M99" t="str">
            <v>삼누리인삼한뿌리와홍삼</v>
          </cell>
          <cell r="N99" t="str">
            <v>120ml</v>
          </cell>
          <cell r="O99">
            <v>1500</v>
          </cell>
          <cell r="P99">
            <v>80</v>
          </cell>
          <cell r="Q99">
            <v>120000</v>
          </cell>
        </row>
        <row r="100">
          <cell r="A100">
            <v>0</v>
          </cell>
          <cell r="B100" t="str">
            <v>토정한삼인</v>
          </cell>
          <cell r="C100">
            <v>46092</v>
          </cell>
          <cell r="D100">
            <v>7115</v>
          </cell>
          <cell r="E100">
            <v>-8</v>
          </cell>
          <cell r="H100" t="str">
            <v>501-29-18678</v>
          </cell>
          <cell r="I100" t="str">
            <v>청주시 흥덕구 풍년로 180번길 13 토정한삼인</v>
          </cell>
          <cell r="J100" t="str">
            <v>노윤서</v>
          </cell>
          <cell r="K100" t="str">
            <v>이순분</v>
          </cell>
          <cell r="L100" t="str">
            <v>010-3411-5056</v>
          </cell>
          <cell r="M100" t="str">
            <v>농협홍삼양갱</v>
          </cell>
          <cell r="N100" t="str">
            <v>15p</v>
          </cell>
          <cell r="O100">
            <v>18000</v>
          </cell>
          <cell r="P100">
            <v>-8</v>
          </cell>
          <cell r="Q100">
            <v>-144000</v>
          </cell>
        </row>
        <row r="101">
          <cell r="A101">
            <v>0</v>
          </cell>
          <cell r="B101" t="str">
            <v>토정한삼인</v>
          </cell>
          <cell r="C101">
            <v>46092</v>
          </cell>
          <cell r="D101">
            <v>7634</v>
          </cell>
          <cell r="E101">
            <v>-57</v>
          </cell>
          <cell r="H101" t="str">
            <v>501-29-18678</v>
          </cell>
          <cell r="I101" t="str">
            <v>청주시 흥덕구 풍년로 180번길 13 토정한삼인</v>
          </cell>
          <cell r="J101" t="str">
            <v>노윤서</v>
          </cell>
          <cell r="K101" t="str">
            <v>이순분</v>
          </cell>
          <cell r="L101" t="str">
            <v>010-3411-5056</v>
          </cell>
          <cell r="M101" t="str">
            <v>명품6년근홍삼진액(30포)</v>
          </cell>
          <cell r="N101" t="str">
            <v>60ml*30포</v>
          </cell>
          <cell r="O101">
            <v>22000</v>
          </cell>
          <cell r="P101">
            <v>-57</v>
          </cell>
          <cell r="Q101">
            <v>-1254000</v>
          </cell>
        </row>
        <row r="102">
          <cell r="A102">
            <v>0</v>
          </cell>
          <cell r="B102" t="str">
            <v>토정한삼인</v>
          </cell>
          <cell r="C102">
            <v>46092</v>
          </cell>
          <cell r="D102">
            <v>3186</v>
          </cell>
          <cell r="E102">
            <v>-2</v>
          </cell>
          <cell r="H102" t="str">
            <v>501-29-18678</v>
          </cell>
          <cell r="I102" t="str">
            <v>청주시 흥덕구 풍년로 180번길 13 토정한삼인</v>
          </cell>
          <cell r="J102" t="str">
            <v>노윤서</v>
          </cell>
          <cell r="K102" t="str">
            <v>이순분</v>
          </cell>
          <cell r="L102" t="str">
            <v>010-3411-5056</v>
          </cell>
          <cell r="M102" t="str">
            <v>홍삼100 (30포)</v>
          </cell>
          <cell r="N102" t="str">
            <v>70ml*30포</v>
          </cell>
          <cell r="O102">
            <v>30000</v>
          </cell>
          <cell r="P102">
            <v>-2</v>
          </cell>
          <cell r="Q102">
            <v>-60000</v>
          </cell>
        </row>
        <row r="103">
          <cell r="A103">
            <v>0</v>
          </cell>
          <cell r="B103" t="str">
            <v>1.영농조합법인장연씨유(상행선)</v>
          </cell>
          <cell r="C103">
            <v>46097</v>
          </cell>
          <cell r="D103">
            <v>3308</v>
          </cell>
          <cell r="E103">
            <v>20</v>
          </cell>
          <cell r="F103">
            <v>1</v>
          </cell>
          <cell r="H103" t="str">
            <v>637-81-00645</v>
          </cell>
          <cell r="I103" t="str">
            <v>충북 괴산군 중부내륙고속도로 204 내고장으뜸상품판매장(상행선)</v>
          </cell>
          <cell r="J103" t="str">
            <v>강흥수</v>
          </cell>
          <cell r="K103" t="str">
            <v>이옥화</v>
          </cell>
          <cell r="L103" t="str">
            <v>010-9557-4564</v>
          </cell>
          <cell r="M103" t="str">
            <v>삼누리홍삼건빵</v>
          </cell>
          <cell r="N103" t="str">
            <v>400g</v>
          </cell>
          <cell r="O103">
            <v>1900</v>
          </cell>
          <cell r="P103">
            <v>20</v>
          </cell>
          <cell r="Q103">
            <v>38000</v>
          </cell>
        </row>
        <row r="104">
          <cell r="A104">
            <v>0</v>
          </cell>
          <cell r="B104" t="str">
            <v>1.영농조합법인장연씨유(상행선)</v>
          </cell>
          <cell r="C104">
            <v>46097</v>
          </cell>
          <cell r="D104">
            <v>3476</v>
          </cell>
          <cell r="E104">
            <v>80</v>
          </cell>
          <cell r="F104">
            <v>2</v>
          </cell>
          <cell r="H104" t="str">
            <v>637-81-00645</v>
          </cell>
          <cell r="I104" t="str">
            <v>충북 괴산군 중부내륙고속도로 204 내고장으뜸상품판매장(상행선)</v>
          </cell>
          <cell r="J104" t="str">
            <v>강흥수</v>
          </cell>
          <cell r="K104" t="str">
            <v>이옥화</v>
          </cell>
          <cell r="L104" t="str">
            <v>010-9557-4564</v>
          </cell>
          <cell r="M104" t="str">
            <v>삼누리인삼한뿌리와홍삼</v>
          </cell>
          <cell r="N104" t="str">
            <v>120ml</v>
          </cell>
          <cell r="O104">
            <v>1250</v>
          </cell>
          <cell r="P104">
            <v>80</v>
          </cell>
          <cell r="Q104">
            <v>100000</v>
          </cell>
        </row>
        <row r="105">
          <cell r="A105">
            <v>0</v>
          </cell>
          <cell r="B105" t="str">
            <v>1.영농조합법인장연씨유(상행선)</v>
          </cell>
          <cell r="C105">
            <v>46097</v>
          </cell>
          <cell r="D105">
            <v>5982</v>
          </cell>
          <cell r="E105">
            <v>100</v>
          </cell>
          <cell r="F105">
            <v>2</v>
          </cell>
          <cell r="H105" t="str">
            <v>637-81-00645</v>
          </cell>
          <cell r="I105" t="str">
            <v>충북 괴산군 중부내륙고속도로 204 내고장으뜸상품판매장(상행선)</v>
          </cell>
          <cell r="J105" t="str">
            <v>강흥수</v>
          </cell>
          <cell r="K105" t="str">
            <v>이옥화</v>
          </cell>
          <cell r="L105" t="str">
            <v>010-9557-4564</v>
          </cell>
          <cell r="M105" t="str">
            <v>천년홍삼보</v>
          </cell>
          <cell r="N105" t="str">
            <v>100ml</v>
          </cell>
          <cell r="O105">
            <v>1019</v>
          </cell>
          <cell r="P105">
            <v>100</v>
          </cell>
          <cell r="Q105">
            <v>101900</v>
          </cell>
        </row>
        <row r="106">
          <cell r="A106">
            <v>1</v>
          </cell>
          <cell r="B106" t="str">
            <v>2.영농조합법인장연씨유(하행선)</v>
          </cell>
          <cell r="C106">
            <v>46097</v>
          </cell>
          <cell r="D106">
            <v>3261</v>
          </cell>
          <cell r="E106">
            <v>30</v>
          </cell>
          <cell r="F106">
            <v>1</v>
          </cell>
          <cell r="H106" t="str">
            <v>637-81-00645</v>
          </cell>
          <cell r="I106" t="str">
            <v>충북 괴산군 장연면 중부내륙고속도로 205 로컬푸드행복장터(하행선)</v>
          </cell>
          <cell r="J106" t="str">
            <v>강흥수</v>
          </cell>
          <cell r="K106" t="str">
            <v>박의순</v>
          </cell>
          <cell r="L106" t="str">
            <v>010-3379-9723</v>
          </cell>
          <cell r="M106" t="str">
            <v>6년근홍삼정캔디(200g)</v>
          </cell>
          <cell r="N106" t="str">
            <v>200g</v>
          </cell>
          <cell r="O106">
            <v>1200</v>
          </cell>
          <cell r="P106">
            <v>30</v>
          </cell>
          <cell r="Q106">
            <v>36000</v>
          </cell>
        </row>
        <row r="107">
          <cell r="A107">
            <v>2</v>
          </cell>
          <cell r="B107" t="str">
            <v>2.영농조합법인장연씨유(하행선)</v>
          </cell>
          <cell r="C107">
            <v>46097</v>
          </cell>
          <cell r="D107">
            <v>3476</v>
          </cell>
          <cell r="E107">
            <v>40</v>
          </cell>
          <cell r="F107">
            <v>1</v>
          </cell>
          <cell r="H107" t="str">
            <v>637-81-00645</v>
          </cell>
          <cell r="I107" t="str">
            <v>충북 괴산군 장연면 중부내륙고속도로 205 로컬푸드행복장터(하행선)</v>
          </cell>
          <cell r="J107" t="str">
            <v>강흥수</v>
          </cell>
          <cell r="K107" t="str">
            <v>박의순</v>
          </cell>
          <cell r="L107" t="str">
            <v>010-3379-9723</v>
          </cell>
          <cell r="M107" t="str">
            <v>삼누리인삼한뿌리와홍삼</v>
          </cell>
          <cell r="N107" t="str">
            <v>120ml</v>
          </cell>
          <cell r="O107">
            <v>1100</v>
          </cell>
          <cell r="P107">
            <v>40</v>
          </cell>
          <cell r="Q107">
            <v>44000</v>
          </cell>
        </row>
        <row r="108">
          <cell r="A108">
            <v>3</v>
          </cell>
          <cell r="B108" t="str">
            <v>2.영농조합법인장연씨유(하행선)</v>
          </cell>
          <cell r="C108">
            <v>46097</v>
          </cell>
          <cell r="D108">
            <v>5982</v>
          </cell>
          <cell r="E108">
            <v>50</v>
          </cell>
          <cell r="F108">
            <v>1</v>
          </cell>
          <cell r="H108" t="str">
            <v>637-81-00645</v>
          </cell>
          <cell r="I108" t="str">
            <v>충북 괴산군 장연면 중부내륙고속도로 205 로컬푸드행복장터(하행선)</v>
          </cell>
          <cell r="J108" t="str">
            <v>강흥수</v>
          </cell>
          <cell r="K108" t="str">
            <v>박의순</v>
          </cell>
          <cell r="L108" t="str">
            <v>010-3379-9723</v>
          </cell>
          <cell r="M108" t="str">
            <v>천년홍삼보</v>
          </cell>
          <cell r="N108" t="str">
            <v>100ml</v>
          </cell>
          <cell r="O108">
            <v>800</v>
          </cell>
          <cell r="P108">
            <v>50</v>
          </cell>
          <cell r="Q108">
            <v>43100</v>
          </cell>
        </row>
        <row r="109">
          <cell r="B109" t="str">
            <v>2.영농조합법인장연씨유(하행선)</v>
          </cell>
          <cell r="C109">
            <v>46098</v>
          </cell>
          <cell r="D109">
            <v>5982</v>
          </cell>
          <cell r="E109">
            <v>50</v>
          </cell>
          <cell r="F109">
            <v>1</v>
          </cell>
          <cell r="H109" t="str">
            <v>637-81-00645</v>
          </cell>
          <cell r="I109" t="str">
            <v>충북 괴산군 장연면 중부내륙고속도로 205 로컬푸드행복장터(하행선)</v>
          </cell>
          <cell r="J109" t="str">
            <v>강흥수</v>
          </cell>
          <cell r="K109" t="str">
            <v>박의순</v>
          </cell>
          <cell r="L109" t="str">
            <v>010-3379-9723</v>
          </cell>
          <cell r="M109" t="str">
            <v>천년홍삼보</v>
          </cell>
          <cell r="N109" t="str">
            <v>100ml</v>
          </cell>
          <cell r="O109">
            <v>800</v>
          </cell>
          <cell r="P109">
            <v>50</v>
          </cell>
          <cell r="Q109">
            <v>40000</v>
          </cell>
        </row>
        <row r="110"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 xml:space="preserve"> </v>
          </cell>
          <cell r="N110" t="str">
            <v xml:space="preserve"> </v>
          </cell>
          <cell r="O110" t="str">
            <v xml:space="preserve"> </v>
          </cell>
          <cell r="P110">
            <v>0</v>
          </cell>
          <cell r="Q110">
            <v>0</v>
          </cell>
        </row>
        <row r="111"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 xml:space="preserve"> </v>
          </cell>
          <cell r="N111" t="str">
            <v xml:space="preserve"> </v>
          </cell>
          <cell r="O111" t="str">
            <v xml:space="preserve"> </v>
          </cell>
          <cell r="P111">
            <v>0</v>
          </cell>
          <cell r="Q111">
            <v>0</v>
          </cell>
        </row>
        <row r="112"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 xml:space="preserve"> </v>
          </cell>
          <cell r="N112" t="str">
            <v xml:space="preserve"> </v>
          </cell>
          <cell r="O112" t="str">
            <v xml:space="preserve"> </v>
          </cell>
          <cell r="P112">
            <v>0</v>
          </cell>
          <cell r="Q11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4"/>
  <sheetViews>
    <sheetView tabSelected="1" zoomScale="85" zoomScaleNormal="85" workbookViewId="0">
      <pane ySplit="14" topLeftCell="A15" activePane="bottomLeft" state="frozen"/>
      <selection pane="bottomLeft" activeCell="R11" sqref="R11"/>
    </sheetView>
  </sheetViews>
  <sheetFormatPr defaultRowHeight="24.95" customHeight="1" x14ac:dyDescent="0.15"/>
  <cols>
    <col min="1" max="1" width="5.44140625" style="1" customWidth="1"/>
    <col min="2" max="2" width="7.88671875" style="1" customWidth="1"/>
    <col min="3" max="3" width="4.44140625" style="1" customWidth="1"/>
    <col min="4" max="4" width="8.77734375" style="1" customWidth="1"/>
    <col min="5" max="5" width="10.5546875" style="1" customWidth="1"/>
    <col min="6" max="6" width="8.88671875" style="1"/>
    <col min="7" max="7" width="2.77734375" style="1" customWidth="1"/>
    <col min="8" max="8" width="5.44140625" style="1" customWidth="1"/>
    <col min="9" max="9" width="10.77734375" style="1" customWidth="1"/>
    <col min="10" max="10" width="5.77734375" style="1" customWidth="1"/>
    <col min="11" max="11" width="7.44140625" style="1" customWidth="1"/>
    <col min="12" max="12" width="5.21875" style="1" customWidth="1"/>
    <col min="13" max="13" width="8.88671875" style="1"/>
    <col min="14" max="14" width="5" style="1" customWidth="1"/>
  </cols>
  <sheetData>
    <row r="1" spans="1:14" ht="35.1" customHeight="1" x14ac:dyDescent="0.3">
      <c r="A1" s="42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4" ht="20.100000000000001" customHeight="1" x14ac:dyDescent="0.15">
      <c r="A2" s="45">
        <v>46211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4" ht="20.100000000000001" customHeight="1" x14ac:dyDescent="0.15">
      <c r="A3" s="44" t="s">
        <v>35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20.100000000000001" customHeight="1" x14ac:dyDescent="0.15">
      <c r="A4" s="2"/>
      <c r="B4" s="2"/>
    </row>
    <row r="5" spans="1:14" ht="24.95" customHeight="1" x14ac:dyDescent="0.15">
      <c r="A5" s="38" t="s">
        <v>0</v>
      </c>
      <c r="B5" s="39" t="s">
        <v>1</v>
      </c>
      <c r="C5" s="39"/>
      <c r="D5" s="12" t="s">
        <v>2</v>
      </c>
      <c r="E5" s="12"/>
      <c r="F5" s="12"/>
      <c r="H5" s="38" t="s">
        <v>3</v>
      </c>
      <c r="I5" s="3" t="s">
        <v>4</v>
      </c>
      <c r="J5" s="41"/>
      <c r="K5" s="41"/>
      <c r="L5" s="41"/>
      <c r="M5" s="41"/>
    </row>
    <row r="6" spans="1:14" ht="24.95" customHeight="1" x14ac:dyDescent="0.15">
      <c r="A6" s="38"/>
      <c r="B6" s="39" t="s">
        <v>5</v>
      </c>
      <c r="C6" s="39"/>
      <c r="D6" s="23" t="s">
        <v>6</v>
      </c>
      <c r="E6" s="23"/>
      <c r="F6" s="23"/>
      <c r="H6" s="38"/>
      <c r="I6" s="3" t="s">
        <v>7</v>
      </c>
      <c r="J6" s="41"/>
      <c r="K6" s="41"/>
      <c r="L6" s="41"/>
      <c r="M6" s="41"/>
    </row>
    <row r="7" spans="1:14" ht="24.95" customHeight="1" x14ac:dyDescent="0.15">
      <c r="A7" s="38"/>
      <c r="B7" s="39" t="s">
        <v>8</v>
      </c>
      <c r="C7" s="39"/>
      <c r="D7" s="23" t="s">
        <v>9</v>
      </c>
      <c r="E7" s="23"/>
      <c r="F7" s="23"/>
      <c r="H7" s="38"/>
      <c r="I7" s="3" t="s">
        <v>10</v>
      </c>
      <c r="J7" s="41"/>
      <c r="K7" s="41"/>
      <c r="L7" s="41"/>
      <c r="M7" s="41"/>
    </row>
    <row r="8" spans="1:14" ht="24.95" customHeight="1" x14ac:dyDescent="0.15">
      <c r="A8" s="38"/>
      <c r="B8" s="39" t="s">
        <v>11</v>
      </c>
      <c r="C8" s="39"/>
      <c r="D8" s="40" t="s">
        <v>12</v>
      </c>
      <c r="E8" s="40"/>
      <c r="F8" s="40"/>
      <c r="H8" s="38"/>
      <c r="I8" s="3" t="s">
        <v>13</v>
      </c>
      <c r="J8" s="41"/>
      <c r="K8" s="41"/>
      <c r="L8" s="41"/>
      <c r="M8" s="41"/>
    </row>
    <row r="9" spans="1:14" ht="24.95" customHeight="1" x14ac:dyDescent="0.15">
      <c r="A9" s="38"/>
      <c r="B9" s="39" t="s">
        <v>14</v>
      </c>
      <c r="C9" s="39"/>
      <c r="D9" s="40" t="s">
        <v>15</v>
      </c>
      <c r="E9" s="40"/>
      <c r="F9" s="40"/>
      <c r="H9" s="38"/>
      <c r="I9" s="3" t="s">
        <v>16</v>
      </c>
      <c r="J9" s="23" t="s">
        <v>17</v>
      </c>
      <c r="K9" s="23"/>
      <c r="L9" s="23"/>
      <c r="M9" s="23"/>
    </row>
    <row r="10" spans="1:14" ht="17.25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24.95" customHeight="1" x14ac:dyDescent="0.15">
      <c r="A11" s="37">
        <f>IFERROR(VLOOKUP(#REF!,#REF!,4,0),0)</f>
        <v>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4" ht="24.95" customHeight="1" x14ac:dyDescent="0.15">
      <c r="A12" s="5" t="s">
        <v>18</v>
      </c>
      <c r="B12" s="38" t="s">
        <v>19</v>
      </c>
      <c r="C12" s="38"/>
      <c r="D12" s="38"/>
      <c r="E12" s="5" t="s">
        <v>20</v>
      </c>
      <c r="F12" s="38" t="s">
        <v>21</v>
      </c>
      <c r="G12" s="38"/>
      <c r="H12" s="38" t="s">
        <v>22</v>
      </c>
      <c r="I12" s="38"/>
      <c r="J12" s="38" t="s">
        <v>23</v>
      </c>
      <c r="K12" s="38"/>
      <c r="L12" s="38"/>
      <c r="M12" s="5" t="s">
        <v>24</v>
      </c>
    </row>
    <row r="13" spans="1:14" ht="24.95" customHeight="1" x14ac:dyDescent="0.15">
      <c r="A13" s="6">
        <v>1</v>
      </c>
      <c r="B13" s="25"/>
      <c r="C13" s="26"/>
      <c r="D13" s="27"/>
      <c r="E13" s="7"/>
      <c r="F13" s="28"/>
      <c r="G13" s="29"/>
      <c r="H13" s="28"/>
      <c r="I13" s="29"/>
      <c r="J13" s="30"/>
      <c r="K13" s="30"/>
      <c r="L13" s="30"/>
      <c r="M13" s="8" t="str">
        <f>IFERROR(VLOOKUP(#REF!,'[1]대리점(입력)'!$A$3:$Q$254,6,0),"")</f>
        <v/>
      </c>
    </row>
    <row r="14" spans="1:14" ht="24.95" customHeight="1" x14ac:dyDescent="0.15">
      <c r="A14" s="6">
        <v>2</v>
      </c>
      <c r="B14" s="25"/>
      <c r="C14" s="26"/>
      <c r="D14" s="27"/>
      <c r="E14" s="7"/>
      <c r="F14" s="28"/>
      <c r="G14" s="29"/>
      <c r="H14" s="28"/>
      <c r="I14" s="29"/>
      <c r="J14" s="30"/>
      <c r="K14" s="30"/>
      <c r="L14" s="30"/>
      <c r="M14" s="8" t="str">
        <f>IFERROR(VLOOKUP(#REF!,'[1]대리점(입력)'!$A$3:$Q$254,6,0),"")</f>
        <v/>
      </c>
    </row>
    <row r="15" spans="1:14" ht="24.95" customHeight="1" x14ac:dyDescent="0.15">
      <c r="A15" s="6">
        <v>3</v>
      </c>
      <c r="B15" s="25"/>
      <c r="C15" s="26"/>
      <c r="D15" s="27"/>
      <c r="E15" s="7"/>
      <c r="F15" s="28"/>
      <c r="G15" s="29"/>
      <c r="H15" s="28"/>
      <c r="I15" s="29"/>
      <c r="J15" s="30"/>
      <c r="K15" s="30"/>
      <c r="L15" s="30"/>
      <c r="M15" s="8" t="str">
        <f>IFERROR(VLOOKUP(#REF!,'[1]대리점(입력)'!$A$3:$Q$254,6,0),"")</f>
        <v/>
      </c>
    </row>
    <row r="16" spans="1:14" ht="24.95" customHeight="1" x14ac:dyDescent="0.15">
      <c r="A16" s="6">
        <v>4</v>
      </c>
      <c r="B16" s="25"/>
      <c r="C16" s="26"/>
      <c r="D16" s="27"/>
      <c r="E16" s="7"/>
      <c r="F16" s="28"/>
      <c r="G16" s="29"/>
      <c r="H16" s="28"/>
      <c r="I16" s="29"/>
      <c r="J16" s="30"/>
      <c r="K16" s="30"/>
      <c r="L16" s="30"/>
      <c r="M16" s="34" t="str">
        <f>IFERROR(VLOOKUP(#REF!,'[1]대리점(입력)'!$A$3:$Q$254,6,0),"")</f>
        <v/>
      </c>
    </row>
    <row r="17" spans="1:13" ht="24.95" customHeight="1" x14ac:dyDescent="0.15">
      <c r="A17" s="6">
        <v>5</v>
      </c>
      <c r="B17" s="25"/>
      <c r="C17" s="26"/>
      <c r="D17" s="27"/>
      <c r="E17" s="7"/>
      <c r="F17" s="28"/>
      <c r="G17" s="29"/>
      <c r="H17" s="28"/>
      <c r="I17" s="29"/>
      <c r="J17" s="30"/>
      <c r="K17" s="30"/>
      <c r="L17" s="30"/>
      <c r="M17" s="35"/>
    </row>
    <row r="18" spans="1:13" ht="24.95" customHeight="1" x14ac:dyDescent="0.15">
      <c r="A18" s="6">
        <v>6</v>
      </c>
      <c r="B18" s="25"/>
      <c r="C18" s="26"/>
      <c r="D18" s="27"/>
      <c r="E18" s="7"/>
      <c r="F18" s="28"/>
      <c r="G18" s="29"/>
      <c r="H18" s="28"/>
      <c r="I18" s="29"/>
      <c r="J18" s="30"/>
      <c r="K18" s="30"/>
      <c r="L18" s="30"/>
      <c r="M18" s="36"/>
    </row>
    <row r="19" spans="1:13" ht="24.95" customHeight="1" x14ac:dyDescent="0.15">
      <c r="A19" s="6">
        <v>7</v>
      </c>
      <c r="B19" s="25"/>
      <c r="C19" s="26"/>
      <c r="D19" s="27"/>
      <c r="E19" s="7"/>
      <c r="F19" s="28"/>
      <c r="G19" s="29"/>
      <c r="H19" s="28"/>
      <c r="I19" s="29"/>
      <c r="J19" s="30"/>
      <c r="K19" s="30"/>
      <c r="L19" s="30"/>
      <c r="M19" s="8" t="str">
        <f>IFERROR(VLOOKUP(#REF!,'[1]대리점(입력)'!$A$3:$Q$254,6,0),"")</f>
        <v/>
      </c>
    </row>
    <row r="20" spans="1:13" ht="24.95" customHeight="1" x14ac:dyDescent="0.15">
      <c r="A20" s="6">
        <v>8</v>
      </c>
      <c r="B20" s="25"/>
      <c r="C20" s="26"/>
      <c r="D20" s="27"/>
      <c r="E20" s="7"/>
      <c r="F20" s="28"/>
      <c r="G20" s="29"/>
      <c r="H20" s="28"/>
      <c r="I20" s="29"/>
      <c r="J20" s="30"/>
      <c r="K20" s="30"/>
      <c r="L20" s="30"/>
      <c r="M20" s="8" t="str">
        <f>IFERROR(VLOOKUP(#REF!,'[1]대리점(입력)'!$A$3:$Q$254,6,0),"")</f>
        <v/>
      </c>
    </row>
    <row r="21" spans="1:13" ht="24.95" customHeight="1" x14ac:dyDescent="0.15">
      <c r="A21" s="6">
        <v>9</v>
      </c>
      <c r="B21" s="25"/>
      <c r="C21" s="26"/>
      <c r="D21" s="27"/>
      <c r="E21" s="7"/>
      <c r="F21" s="28"/>
      <c r="G21" s="29"/>
      <c r="H21" s="28"/>
      <c r="I21" s="29"/>
      <c r="J21" s="30"/>
      <c r="K21" s="30"/>
      <c r="L21" s="30"/>
      <c r="M21" s="8" t="str">
        <f>IFERROR(VLOOKUP(#REF!,'[1]대리점(입력)'!$A$3:$Q$254,6,0),"")</f>
        <v/>
      </c>
    </row>
    <row r="22" spans="1:13" ht="24.95" customHeight="1" x14ac:dyDescent="0.15">
      <c r="A22" s="6">
        <v>10</v>
      </c>
      <c r="B22" s="25"/>
      <c r="C22" s="26"/>
      <c r="D22" s="27"/>
      <c r="E22" s="7"/>
      <c r="F22" s="28"/>
      <c r="G22" s="29"/>
      <c r="H22" s="28"/>
      <c r="I22" s="29"/>
      <c r="J22" s="30"/>
      <c r="K22" s="30"/>
      <c r="L22" s="30"/>
      <c r="M22" s="8" t="str">
        <f>IFERROR(VLOOKUP(#REF!,'[1]대리점(입력)'!$A$3:$Q$254,6,0),"")</f>
        <v/>
      </c>
    </row>
    <row r="23" spans="1:13" ht="24.95" customHeight="1" x14ac:dyDescent="0.15">
      <c r="A23" s="6">
        <v>11</v>
      </c>
      <c r="B23" s="25"/>
      <c r="C23" s="26"/>
      <c r="D23" s="27"/>
      <c r="E23" s="7"/>
      <c r="F23" s="28"/>
      <c r="G23" s="29"/>
      <c r="H23" s="28"/>
      <c r="I23" s="29"/>
      <c r="J23" s="30"/>
      <c r="K23" s="30"/>
      <c r="L23" s="30"/>
      <c r="M23" s="8" t="str">
        <f>IFERROR(VLOOKUP(#REF!,'[1]대리점(입력)'!$A$3:$Q$254,6,0),"")</f>
        <v/>
      </c>
    </row>
    <row r="24" spans="1:13" ht="24.95" customHeight="1" x14ac:dyDescent="0.15">
      <c r="A24" s="6">
        <v>12</v>
      </c>
      <c r="B24" s="25"/>
      <c r="C24" s="26"/>
      <c r="D24" s="27"/>
      <c r="E24" s="7"/>
      <c r="F24" s="28"/>
      <c r="G24" s="29"/>
      <c r="H24" s="28"/>
      <c r="I24" s="29"/>
      <c r="J24" s="30"/>
      <c r="K24" s="30"/>
      <c r="L24" s="30"/>
      <c r="M24" s="8" t="str">
        <f>IFERROR(VLOOKUP(#REF!,'[1]대리점(입력)'!$A$3:$Q$254,6,0),"")</f>
        <v/>
      </c>
    </row>
    <row r="25" spans="1:13" ht="24.95" customHeight="1" x14ac:dyDescent="0.15">
      <c r="A25" s="6">
        <v>13</v>
      </c>
      <c r="B25" s="25"/>
      <c r="C25" s="26"/>
      <c r="D25" s="27"/>
      <c r="E25" s="7"/>
      <c r="F25" s="28"/>
      <c r="G25" s="29"/>
      <c r="H25" s="28"/>
      <c r="I25" s="29"/>
      <c r="J25" s="30"/>
      <c r="K25" s="30"/>
      <c r="L25" s="30"/>
      <c r="M25" s="8" t="str">
        <f>IFERROR(VLOOKUP(#REF!,'[1]대리점(입력)'!$A$3:$Q$254,6,0),"")</f>
        <v/>
      </c>
    </row>
    <row r="26" spans="1:13" ht="24.95" customHeight="1" x14ac:dyDescent="0.15">
      <c r="A26" s="6">
        <v>14</v>
      </c>
      <c r="B26" s="25"/>
      <c r="C26" s="26"/>
      <c r="D26" s="27"/>
      <c r="E26" s="7"/>
      <c r="F26" s="28"/>
      <c r="G26" s="29"/>
      <c r="H26" s="28"/>
      <c r="I26" s="29"/>
      <c r="J26" s="30"/>
      <c r="K26" s="30"/>
      <c r="L26" s="30"/>
      <c r="M26" s="8" t="str">
        <f>IFERROR(VLOOKUP(#REF!,'[1]대리점(입력)'!$A$3:$Q$254,6,0),"")</f>
        <v/>
      </c>
    </row>
    <row r="27" spans="1:13" ht="24.95" customHeight="1" x14ac:dyDescent="0.15">
      <c r="A27" s="6">
        <v>15</v>
      </c>
      <c r="B27" s="25" t="str">
        <f>IFERROR(VLOOKUP(#REF!,'[1]대리점(입력)'!$A$3:$Q$254,13,0),"")</f>
        <v/>
      </c>
      <c r="C27" s="26"/>
      <c r="D27" s="27"/>
      <c r="E27" s="7" t="str">
        <f>IFERROR(VLOOKUP(#REF!,'[1]대리점(입력)'!$A$3:$Q$254,14,0),"")</f>
        <v/>
      </c>
      <c r="F27" s="28" t="str">
        <f>IFERROR(VLOOKUP(#REF!,'[1]대리점(입력)'!$A$3:$Q$254,5,0),"")</f>
        <v/>
      </c>
      <c r="G27" s="29"/>
      <c r="H27" s="28"/>
      <c r="I27" s="29"/>
      <c r="J27" s="30"/>
      <c r="K27" s="30"/>
      <c r="L27" s="30"/>
      <c r="M27" s="8" t="str">
        <f>IFERROR(VLOOKUP(#REF!,'[1]대리점(입력)'!$A$3:$Q$254,6,0),"")</f>
        <v/>
      </c>
    </row>
    <row r="28" spans="1:13" ht="24.95" customHeight="1" x14ac:dyDescent="0.15">
      <c r="A28" s="31" t="s">
        <v>25</v>
      </c>
      <c r="B28" s="31"/>
      <c r="C28" s="31"/>
      <c r="D28" s="31"/>
      <c r="E28" s="9"/>
      <c r="F28" s="32">
        <f>SUM(F13:G27)</f>
        <v>0</v>
      </c>
      <c r="G28" s="32"/>
      <c r="H28" s="32"/>
      <c r="I28" s="32"/>
      <c r="J28" s="33">
        <f>SUM(J13:L27)</f>
        <v>0</v>
      </c>
      <c r="K28" s="33"/>
      <c r="L28" s="33"/>
      <c r="M28" s="10">
        <f>SUM(M13:M27)</f>
        <v>0</v>
      </c>
    </row>
    <row r="29" spans="1:13" ht="24.95" customHeight="1" x14ac:dyDescent="0.15">
      <c r="A29" s="20" t="s">
        <v>26</v>
      </c>
      <c r="B29" s="20"/>
      <c r="C29" s="20"/>
      <c r="D29" s="20"/>
      <c r="E29" s="21" t="s">
        <v>27</v>
      </c>
      <c r="F29" s="21"/>
      <c r="G29" s="21"/>
      <c r="H29" s="20" t="s">
        <v>28</v>
      </c>
      <c r="I29" s="20"/>
      <c r="J29" s="20"/>
      <c r="K29" s="22">
        <f>J28</f>
        <v>0</v>
      </c>
      <c r="L29" s="23"/>
      <c r="M29" s="23"/>
    </row>
    <row r="30" spans="1:13" ht="24.95" customHeight="1" x14ac:dyDescent="0.15">
      <c r="A30" s="22">
        <f>K29/1.1</f>
        <v>0</v>
      </c>
      <c r="B30" s="23"/>
      <c r="C30" s="23"/>
      <c r="D30" s="23"/>
      <c r="E30" s="24">
        <f>K29-A30</f>
        <v>0</v>
      </c>
      <c r="F30" s="24"/>
      <c r="G30" s="24"/>
      <c r="H30" s="20"/>
      <c r="I30" s="20"/>
      <c r="J30" s="20"/>
      <c r="K30" s="23"/>
      <c r="L30" s="23"/>
      <c r="M30" s="23"/>
    </row>
    <row r="32" spans="1:13" ht="24.95" customHeight="1" x14ac:dyDescent="0.15">
      <c r="A32" s="13" t="s">
        <v>29</v>
      </c>
      <c r="B32" s="14"/>
      <c r="C32" s="15">
        <f>J6</f>
        <v>0</v>
      </c>
      <c r="D32" s="15"/>
      <c r="E32" s="15"/>
      <c r="F32" s="15"/>
      <c r="G32" s="15"/>
      <c r="H32" s="16" t="s">
        <v>30</v>
      </c>
      <c r="I32" s="17"/>
      <c r="J32" s="18" t="e">
        <f>VLOOKUP(#REF!,'[1]대리점(입력)'!$A$3:$Q$254,11,0)</f>
        <v>#REF!</v>
      </c>
      <c r="K32" s="19"/>
      <c r="L32" s="18" t="e">
        <f>VLOOKUP(#REF!,'[1]대리점(입력)'!$A$3:$Q$254,12,0)</f>
        <v>#REF!</v>
      </c>
      <c r="M32" s="19"/>
    </row>
    <row r="33" spans="1:13" ht="24.95" customHeight="1" x14ac:dyDescent="0.15">
      <c r="A33" s="13" t="s">
        <v>31</v>
      </c>
      <c r="B33" s="14"/>
      <c r="C33" s="15">
        <f>J8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ht="29.25" customHeight="1" x14ac:dyDescent="0.15">
      <c r="A34" s="11" t="s">
        <v>32</v>
      </c>
      <c r="B34" s="11"/>
      <c r="C34" s="12" t="s">
        <v>33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</row>
  </sheetData>
  <mergeCells count="105">
    <mergeCell ref="B6:C6"/>
    <mergeCell ref="D6:F6"/>
    <mergeCell ref="J6:M6"/>
    <mergeCell ref="B7:C7"/>
    <mergeCell ref="D7:F7"/>
    <mergeCell ref="J7:M7"/>
    <mergeCell ref="A1:M1"/>
    <mergeCell ref="A2:M2"/>
    <mergeCell ref="A3:M3"/>
    <mergeCell ref="A5:A9"/>
    <mergeCell ref="B5:C5"/>
    <mergeCell ref="D5:F5"/>
    <mergeCell ref="H5:H9"/>
    <mergeCell ref="J5:M5"/>
    <mergeCell ref="A11:M11"/>
    <mergeCell ref="B12:D12"/>
    <mergeCell ref="F12:G12"/>
    <mergeCell ref="H12:I12"/>
    <mergeCell ref="J12:L12"/>
    <mergeCell ref="B8:C8"/>
    <mergeCell ref="D8:F8"/>
    <mergeCell ref="J8:M8"/>
    <mergeCell ref="B9:C9"/>
    <mergeCell ref="D9:F9"/>
    <mergeCell ref="J9:M9"/>
    <mergeCell ref="B15:D15"/>
    <mergeCell ref="F15:G15"/>
    <mergeCell ref="H15:I15"/>
    <mergeCell ref="J15:L15"/>
    <mergeCell ref="B16:D16"/>
    <mergeCell ref="F16:G16"/>
    <mergeCell ref="H16:I16"/>
    <mergeCell ref="J16:L16"/>
    <mergeCell ref="B13:D13"/>
    <mergeCell ref="F13:G13"/>
    <mergeCell ref="H13:I13"/>
    <mergeCell ref="J13:L13"/>
    <mergeCell ref="B14:D14"/>
    <mergeCell ref="F14:G14"/>
    <mergeCell ref="H14:I14"/>
    <mergeCell ref="J14:L14"/>
    <mergeCell ref="M16:M18"/>
    <mergeCell ref="B17:D17"/>
    <mergeCell ref="F17:G17"/>
    <mergeCell ref="H17:I17"/>
    <mergeCell ref="J17:L17"/>
    <mergeCell ref="B18:D18"/>
    <mergeCell ref="F18:G18"/>
    <mergeCell ref="H18:I18"/>
    <mergeCell ref="J18:L18"/>
    <mergeCell ref="B21:D21"/>
    <mergeCell ref="F21:G21"/>
    <mergeCell ref="H21:I21"/>
    <mergeCell ref="J21:L21"/>
    <mergeCell ref="B22:D22"/>
    <mergeCell ref="F22:G22"/>
    <mergeCell ref="H22:I22"/>
    <mergeCell ref="J22:L22"/>
    <mergeCell ref="B19:D19"/>
    <mergeCell ref="F19:G19"/>
    <mergeCell ref="H19:I19"/>
    <mergeCell ref="J19:L19"/>
    <mergeCell ref="B20:D20"/>
    <mergeCell ref="F20:G20"/>
    <mergeCell ref="H20:I20"/>
    <mergeCell ref="J20:L20"/>
    <mergeCell ref="B25:D25"/>
    <mergeCell ref="F25:G25"/>
    <mergeCell ref="H25:I25"/>
    <mergeCell ref="J25:L25"/>
    <mergeCell ref="B26:D26"/>
    <mergeCell ref="F26:G26"/>
    <mergeCell ref="H26:I26"/>
    <mergeCell ref="J26:L26"/>
    <mergeCell ref="B23:D23"/>
    <mergeCell ref="F23:G23"/>
    <mergeCell ref="H23:I23"/>
    <mergeCell ref="J23:L23"/>
    <mergeCell ref="B24:D24"/>
    <mergeCell ref="F24:G24"/>
    <mergeCell ref="H24:I24"/>
    <mergeCell ref="J24:L24"/>
    <mergeCell ref="A29:D29"/>
    <mergeCell ref="E29:G29"/>
    <mergeCell ref="H29:J30"/>
    <mergeCell ref="K29:M30"/>
    <mergeCell ref="A30:D30"/>
    <mergeCell ref="E30:G30"/>
    <mergeCell ref="B27:D27"/>
    <mergeCell ref="F27:G27"/>
    <mergeCell ref="H27:I27"/>
    <mergeCell ref="J27:L27"/>
    <mergeCell ref="A28:D28"/>
    <mergeCell ref="F28:G28"/>
    <mergeCell ref="H28:I28"/>
    <mergeCell ref="J28:L28"/>
    <mergeCell ref="A34:B34"/>
    <mergeCell ref="C34:M34"/>
    <mergeCell ref="A32:B32"/>
    <mergeCell ref="C32:G32"/>
    <mergeCell ref="H32:I32"/>
    <mergeCell ref="J32:K32"/>
    <mergeCell ref="L32:M32"/>
    <mergeCell ref="A33:B33"/>
    <mergeCell ref="C33:M33"/>
  </mergeCells>
  <phoneticPr fontId="2" type="noConversion"/>
  <printOptions horizontalCentered="1"/>
  <pageMargins left="0" right="0" top="0.98425196850393704" bottom="0" header="0" footer="0"/>
  <pageSetup paperSize="9" scale="86" orientation="portrait" r:id="rId1"/>
  <colBreaks count="1" manualBreakCount="1">
    <brk id="13" max="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대리점(출력)</vt:lpstr>
      <vt:lpstr>'대리점(출력)'!Print_Area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문병성</dc:creator>
  <cp:lastModifiedBy>Windows 사용자</cp:lastModifiedBy>
  <dcterms:created xsi:type="dcterms:W3CDTF">2026-07-08T05:54:03Z</dcterms:created>
  <dcterms:modified xsi:type="dcterms:W3CDTF">2026-07-08T05:57:41Z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eyAibm9kZUNvdW50IjogMiwgIm5vZGUxIiA6IHsiZHNkIjoiMDEwMDAwMDAwMDAwMzQxMiIsImxvZ1RpbWUiOiIyMDI2LTA3LTA4VDA1OjU0OjE1WiIsInBJRCI6MSwicHJvY2Vzc0lkIjo2NDI4NCwicHJvY2Vzc05hbWUiOiJFWENFTC5FWEUiLCJ0cmFjZUlkIjoiRDJDRjRDQUE0REQyNERERjlFN0QyQUE0RUZFRDVBRTMiLCJ1c2VyQ29</vt:lpwstr>
  </property>
</Properties>
</file>